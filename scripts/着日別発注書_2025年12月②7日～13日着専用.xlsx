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v\Desktop\"/>
    </mc:Choice>
  </mc:AlternateContent>
  <xr:revisionPtr revIDLastSave="0" documentId="13_ncr:1_{117C6348-7FD9-4C03-9F2E-9F4844B7B1FD}" xr6:coauthVersionLast="47" xr6:coauthVersionMax="47" xr10:uidLastSave="{00000000-0000-0000-0000-000000000000}"/>
  <workbookProtection workbookAlgorithmName="SHA-512" workbookHashValue="713BODcuP9IuEdr0Bww5xKQxeWDYc4FgZW6stQWeRgVOy3fU+00ojPwRrM+pxcYWqLHrY3vSCI8STv1hROvnLw==" workbookSaltValue="TtXVOTl4ETXd8KmUM8jduw==" workbookSpinCount="100000" lockStructure="1"/>
  <bookViews>
    <workbookView xWindow="-120" yWindow="-120" windowWidth="20730" windowHeight="11040" xr2:uid="{00000000-000D-0000-FFFF-FFFF00000000}"/>
  </bookViews>
  <sheets>
    <sheet name="発注書" sheetId="1" r:id="rId1"/>
    <sheet name="取込用" sheetId="8" state="hidden" r:id="rId2"/>
    <sheet name="商品分類" sheetId="6" state="hidden" r:id="rId3"/>
    <sheet name="商品" sheetId="7" state="hidden" r:id="rId4"/>
  </sheets>
  <definedNames>
    <definedName name="ExternalData_1" localSheetId="2" hidden="1">商品分類!$A$1:$C$50</definedName>
    <definedName name="ExternalData_2" localSheetId="3" hidden="1">商品!$A$1:$C$837</definedName>
    <definedName name="_xlnm.Print_Area" localSheetId="0">発注書!$A$1:$V$87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F36" i="1" s="1"/>
  <c r="G116" i="8" s="1"/>
  <c r="E37" i="1"/>
  <c r="F37" i="1" s="1"/>
  <c r="G117" i="8" s="1"/>
  <c r="E38" i="1"/>
  <c r="F38" i="1" s="1"/>
  <c r="G118" i="8" s="1"/>
  <c r="E39" i="1"/>
  <c r="F39" i="1" s="1"/>
  <c r="G119" i="8" s="1"/>
  <c r="E40" i="1"/>
  <c r="F40" i="1" s="1"/>
  <c r="G120" i="8" s="1"/>
  <c r="E41" i="1"/>
  <c r="E42" i="1"/>
  <c r="F42" i="1" s="1"/>
  <c r="G122" i="8" s="1"/>
  <c r="E43" i="1"/>
  <c r="F43" i="1" s="1"/>
  <c r="G123" i="8" s="1"/>
  <c r="E44" i="1"/>
  <c r="F44" i="1" s="1"/>
  <c r="G124" i="8" s="1"/>
  <c r="E45" i="1"/>
  <c r="F45" i="1" s="1"/>
  <c r="G125" i="8" s="1"/>
  <c r="E46" i="1"/>
  <c r="F46" i="1" s="1"/>
  <c r="G126" i="8" s="1"/>
  <c r="E47" i="1"/>
  <c r="E48" i="1"/>
  <c r="F48" i="1" s="1"/>
  <c r="G128" i="8" s="1"/>
  <c r="E49" i="1"/>
  <c r="F49" i="1" s="1"/>
  <c r="G129" i="8" s="1"/>
  <c r="E50" i="1"/>
  <c r="F50" i="1" s="1"/>
  <c r="G130" i="8" s="1"/>
  <c r="E51" i="1"/>
  <c r="F51" i="1" s="1"/>
  <c r="G131" i="8" s="1"/>
  <c r="E52" i="1"/>
  <c r="F52" i="1" s="1"/>
  <c r="G132" i="8" s="1"/>
  <c r="E53" i="1"/>
  <c r="F53" i="1" s="1"/>
  <c r="G133" i="8" s="1"/>
  <c r="E54" i="1"/>
  <c r="F54" i="1" s="1"/>
  <c r="G134" i="8" s="1"/>
  <c r="E55" i="1"/>
  <c r="F55" i="1" s="1"/>
  <c r="G135" i="8" s="1"/>
  <c r="E56" i="1"/>
  <c r="F56" i="1" s="1"/>
  <c r="G136" i="8" s="1"/>
  <c r="E57" i="1"/>
  <c r="E58" i="1"/>
  <c r="F58" i="1" s="1"/>
  <c r="G138" i="8" s="1"/>
  <c r="E59" i="1"/>
  <c r="F59" i="1" s="1"/>
  <c r="G139" i="8" s="1"/>
  <c r="E60" i="1"/>
  <c r="F60" i="1" s="1"/>
  <c r="G140" i="8" s="1"/>
  <c r="E61" i="1"/>
  <c r="F61" i="1" s="1"/>
  <c r="G141" i="8" s="1"/>
  <c r="E62" i="1"/>
  <c r="E63" i="1"/>
  <c r="F63" i="1" s="1"/>
  <c r="G143" i="8" s="1"/>
  <c r="E64" i="1"/>
  <c r="E65" i="1"/>
  <c r="E66" i="1"/>
  <c r="F66" i="1" s="1"/>
  <c r="G146" i="8" s="1"/>
  <c r="E67" i="1"/>
  <c r="F67" i="1" s="1"/>
  <c r="G147" i="8" s="1"/>
  <c r="E68" i="1"/>
  <c r="F68" i="1" s="1"/>
  <c r="G148" i="8" s="1"/>
  <c r="E69" i="1"/>
  <c r="F69" i="1" s="1"/>
  <c r="G149" i="8" s="1"/>
  <c r="E70" i="1"/>
  <c r="F70" i="1" s="1"/>
  <c r="G150" i="8" s="1"/>
  <c r="E71" i="1"/>
  <c r="F71" i="1" s="1"/>
  <c r="G151" i="8" s="1"/>
  <c r="E72" i="1"/>
  <c r="F72" i="1" s="1"/>
  <c r="G152" i="8" s="1"/>
  <c r="E73" i="1"/>
  <c r="F73" i="1" s="1"/>
  <c r="G153" i="8" s="1"/>
  <c r="E74" i="1"/>
  <c r="F74" i="1" s="1"/>
  <c r="G154" i="8" s="1"/>
  <c r="E75" i="1"/>
  <c r="F75" i="1" s="1"/>
  <c r="G155" i="8" s="1"/>
  <c r="E76" i="1"/>
  <c r="F76" i="1" s="1"/>
  <c r="G156" i="8" s="1"/>
  <c r="E77" i="1"/>
  <c r="F77" i="1" s="1"/>
  <c r="G157" i="8" s="1"/>
  <c r="E78" i="1"/>
  <c r="F78" i="1" s="1"/>
  <c r="G158" i="8" s="1"/>
  <c r="E79" i="1"/>
  <c r="F79" i="1" s="1"/>
  <c r="G159" i="8" s="1"/>
  <c r="E80" i="1"/>
  <c r="F80" i="1" s="1"/>
  <c r="G160" i="8" s="1"/>
  <c r="E81" i="1"/>
  <c r="F81" i="1" s="1"/>
  <c r="G161" i="8" s="1"/>
  <c r="E82" i="1"/>
  <c r="F82" i="1" s="1"/>
  <c r="G162" i="8" s="1"/>
  <c r="E83" i="1"/>
  <c r="F83" i="1" s="1"/>
  <c r="G163" i="8" s="1"/>
  <c r="E84" i="1"/>
  <c r="F84" i="1" s="1"/>
  <c r="G164" i="8" s="1"/>
  <c r="E85" i="1"/>
  <c r="F85" i="1" s="1"/>
  <c r="G165" i="8" s="1"/>
  <c r="E86" i="1"/>
  <c r="C357" i="8"/>
  <c r="D357" i="8"/>
  <c r="E357" i="8"/>
  <c r="H357" i="8"/>
  <c r="C358" i="8"/>
  <c r="D358" i="8"/>
  <c r="E358" i="8"/>
  <c r="H358" i="8"/>
  <c r="C359" i="8"/>
  <c r="D359" i="8"/>
  <c r="E359" i="8"/>
  <c r="H359" i="8"/>
  <c r="C360" i="8"/>
  <c r="D360" i="8"/>
  <c r="E360" i="8"/>
  <c r="H360" i="8"/>
  <c r="C361" i="8"/>
  <c r="D361" i="8"/>
  <c r="E361" i="8"/>
  <c r="H361" i="8"/>
  <c r="C362" i="8"/>
  <c r="D362" i="8"/>
  <c r="E362" i="8"/>
  <c r="H362" i="8"/>
  <c r="C363" i="8"/>
  <c r="D363" i="8"/>
  <c r="E363" i="8"/>
  <c r="H363" i="8"/>
  <c r="C364" i="8"/>
  <c r="D364" i="8"/>
  <c r="E364" i="8"/>
  <c r="H364" i="8"/>
  <c r="C365" i="8"/>
  <c r="D365" i="8"/>
  <c r="E365" i="8"/>
  <c r="H365" i="8"/>
  <c r="C366" i="8"/>
  <c r="D366" i="8"/>
  <c r="E366" i="8"/>
  <c r="H366" i="8"/>
  <c r="C367" i="8"/>
  <c r="D367" i="8"/>
  <c r="E367" i="8"/>
  <c r="H367" i="8"/>
  <c r="C368" i="8"/>
  <c r="D368" i="8"/>
  <c r="E368" i="8"/>
  <c r="H368" i="8"/>
  <c r="C369" i="8"/>
  <c r="D369" i="8"/>
  <c r="E369" i="8"/>
  <c r="H369" i="8"/>
  <c r="C370" i="8"/>
  <c r="D370" i="8"/>
  <c r="E370" i="8"/>
  <c r="H370" i="8"/>
  <c r="C371" i="8"/>
  <c r="D371" i="8"/>
  <c r="E371" i="8"/>
  <c r="H371" i="8"/>
  <c r="C372" i="8"/>
  <c r="D372" i="8"/>
  <c r="E372" i="8"/>
  <c r="H372" i="8"/>
  <c r="C373" i="8"/>
  <c r="D373" i="8"/>
  <c r="E373" i="8"/>
  <c r="H373" i="8"/>
  <c r="C374" i="8"/>
  <c r="D374" i="8"/>
  <c r="E374" i="8"/>
  <c r="H374" i="8"/>
  <c r="C375" i="8"/>
  <c r="D375" i="8"/>
  <c r="E375" i="8"/>
  <c r="H375" i="8"/>
  <c r="C376" i="8"/>
  <c r="D376" i="8"/>
  <c r="E376" i="8"/>
  <c r="H376" i="8"/>
  <c r="C377" i="8"/>
  <c r="D377" i="8"/>
  <c r="E377" i="8"/>
  <c r="H377" i="8"/>
  <c r="C378" i="8"/>
  <c r="D378" i="8"/>
  <c r="E378" i="8"/>
  <c r="H378" i="8"/>
  <c r="C379" i="8"/>
  <c r="D379" i="8"/>
  <c r="E379" i="8"/>
  <c r="H379" i="8"/>
  <c r="C380" i="8"/>
  <c r="D380" i="8"/>
  <c r="E380" i="8"/>
  <c r="H380" i="8"/>
  <c r="C381" i="8"/>
  <c r="D381" i="8"/>
  <c r="E381" i="8"/>
  <c r="H381" i="8"/>
  <c r="C382" i="8"/>
  <c r="D382" i="8"/>
  <c r="E382" i="8"/>
  <c r="H382" i="8"/>
  <c r="C383" i="8"/>
  <c r="D383" i="8"/>
  <c r="E383" i="8"/>
  <c r="H383" i="8"/>
  <c r="C384" i="8"/>
  <c r="D384" i="8"/>
  <c r="E384" i="8"/>
  <c r="H384" i="8"/>
  <c r="C385" i="8"/>
  <c r="D385" i="8"/>
  <c r="E385" i="8"/>
  <c r="H385" i="8"/>
  <c r="C386" i="8"/>
  <c r="D386" i="8"/>
  <c r="E386" i="8"/>
  <c r="H386" i="8"/>
  <c r="C387" i="8"/>
  <c r="D387" i="8"/>
  <c r="E387" i="8"/>
  <c r="H387" i="8"/>
  <c r="C388" i="8"/>
  <c r="D388" i="8"/>
  <c r="E388" i="8"/>
  <c r="H388" i="8"/>
  <c r="C389" i="8"/>
  <c r="D389" i="8"/>
  <c r="E389" i="8"/>
  <c r="H389" i="8"/>
  <c r="C390" i="8"/>
  <c r="D390" i="8"/>
  <c r="E390" i="8"/>
  <c r="H390" i="8"/>
  <c r="C391" i="8"/>
  <c r="D391" i="8"/>
  <c r="E391" i="8"/>
  <c r="H391" i="8"/>
  <c r="C392" i="8"/>
  <c r="D392" i="8"/>
  <c r="E392" i="8"/>
  <c r="H392" i="8"/>
  <c r="C393" i="8"/>
  <c r="D393" i="8"/>
  <c r="E393" i="8"/>
  <c r="H393" i="8"/>
  <c r="C394" i="8"/>
  <c r="D394" i="8"/>
  <c r="E394" i="8"/>
  <c r="H394" i="8"/>
  <c r="C395" i="8"/>
  <c r="D395" i="8"/>
  <c r="E395" i="8"/>
  <c r="H395" i="8"/>
  <c r="C396" i="8"/>
  <c r="D396" i="8"/>
  <c r="E396" i="8"/>
  <c r="H396" i="8"/>
  <c r="C397" i="8"/>
  <c r="D397" i="8"/>
  <c r="E397" i="8"/>
  <c r="H397" i="8"/>
  <c r="C398" i="8"/>
  <c r="D398" i="8"/>
  <c r="E398" i="8"/>
  <c r="H398" i="8"/>
  <c r="C399" i="8"/>
  <c r="D399" i="8"/>
  <c r="E399" i="8"/>
  <c r="H399" i="8"/>
  <c r="C400" i="8"/>
  <c r="D400" i="8"/>
  <c r="E400" i="8"/>
  <c r="H400" i="8"/>
  <c r="C401" i="8"/>
  <c r="D401" i="8"/>
  <c r="E401" i="8"/>
  <c r="H401" i="8"/>
  <c r="C402" i="8"/>
  <c r="D402" i="8"/>
  <c r="E402" i="8"/>
  <c r="H402" i="8"/>
  <c r="C403" i="8"/>
  <c r="D403" i="8"/>
  <c r="E403" i="8"/>
  <c r="H403" i="8"/>
  <c r="C404" i="8"/>
  <c r="D404" i="8"/>
  <c r="E404" i="8"/>
  <c r="H404" i="8"/>
  <c r="C405" i="8"/>
  <c r="D405" i="8"/>
  <c r="E405" i="8"/>
  <c r="H405" i="8"/>
  <c r="C406" i="8"/>
  <c r="D406" i="8"/>
  <c r="E406" i="8"/>
  <c r="H406" i="8"/>
  <c r="C407" i="8"/>
  <c r="D407" i="8"/>
  <c r="E407" i="8"/>
  <c r="H407" i="8"/>
  <c r="C408" i="8"/>
  <c r="D408" i="8"/>
  <c r="E408" i="8"/>
  <c r="H408" i="8"/>
  <c r="C409" i="8"/>
  <c r="D409" i="8"/>
  <c r="E409" i="8"/>
  <c r="H409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C273" i="8"/>
  <c r="D273" i="8"/>
  <c r="E273" i="8"/>
  <c r="H273" i="8"/>
  <c r="C274" i="8"/>
  <c r="D274" i="8"/>
  <c r="E274" i="8"/>
  <c r="H274" i="8"/>
  <c r="C275" i="8"/>
  <c r="D275" i="8"/>
  <c r="E275" i="8"/>
  <c r="H275" i="8"/>
  <c r="C276" i="8"/>
  <c r="D276" i="8"/>
  <c r="E276" i="8"/>
  <c r="H276" i="8"/>
  <c r="C277" i="8"/>
  <c r="D277" i="8"/>
  <c r="E277" i="8"/>
  <c r="H277" i="8"/>
  <c r="C278" i="8"/>
  <c r="D278" i="8"/>
  <c r="E278" i="8"/>
  <c r="H278" i="8"/>
  <c r="C279" i="8"/>
  <c r="D279" i="8"/>
  <c r="E279" i="8"/>
  <c r="H279" i="8"/>
  <c r="C280" i="8"/>
  <c r="D280" i="8"/>
  <c r="E280" i="8"/>
  <c r="H280" i="8"/>
  <c r="C281" i="8"/>
  <c r="D281" i="8"/>
  <c r="E281" i="8"/>
  <c r="H281" i="8"/>
  <c r="C282" i="8"/>
  <c r="D282" i="8"/>
  <c r="E282" i="8"/>
  <c r="H282" i="8"/>
  <c r="C283" i="8"/>
  <c r="D283" i="8"/>
  <c r="E283" i="8"/>
  <c r="H283" i="8"/>
  <c r="C284" i="8"/>
  <c r="D284" i="8"/>
  <c r="E284" i="8"/>
  <c r="H284" i="8"/>
  <c r="C285" i="8"/>
  <c r="D285" i="8"/>
  <c r="E285" i="8"/>
  <c r="H285" i="8"/>
  <c r="C286" i="8"/>
  <c r="D286" i="8"/>
  <c r="E286" i="8"/>
  <c r="H286" i="8"/>
  <c r="C287" i="8"/>
  <c r="D287" i="8"/>
  <c r="E287" i="8"/>
  <c r="H287" i="8"/>
  <c r="C288" i="8"/>
  <c r="D288" i="8"/>
  <c r="E288" i="8"/>
  <c r="H288" i="8"/>
  <c r="C289" i="8"/>
  <c r="D289" i="8"/>
  <c r="E289" i="8"/>
  <c r="H289" i="8"/>
  <c r="C290" i="8"/>
  <c r="D290" i="8"/>
  <c r="E290" i="8"/>
  <c r="H290" i="8"/>
  <c r="C291" i="8"/>
  <c r="D291" i="8"/>
  <c r="E291" i="8"/>
  <c r="H291" i="8"/>
  <c r="C292" i="8"/>
  <c r="D292" i="8"/>
  <c r="E292" i="8"/>
  <c r="H292" i="8"/>
  <c r="C293" i="8"/>
  <c r="D293" i="8"/>
  <c r="E293" i="8"/>
  <c r="H293" i="8"/>
  <c r="C294" i="8"/>
  <c r="D294" i="8"/>
  <c r="E294" i="8"/>
  <c r="H294" i="8"/>
  <c r="C295" i="8"/>
  <c r="D295" i="8"/>
  <c r="E295" i="8"/>
  <c r="H295" i="8"/>
  <c r="C296" i="8"/>
  <c r="D296" i="8"/>
  <c r="E296" i="8"/>
  <c r="H296" i="8"/>
  <c r="C297" i="8"/>
  <c r="D297" i="8"/>
  <c r="E297" i="8"/>
  <c r="H297" i="8"/>
  <c r="C298" i="8"/>
  <c r="D298" i="8"/>
  <c r="E298" i="8"/>
  <c r="H298" i="8"/>
  <c r="C299" i="8"/>
  <c r="D299" i="8"/>
  <c r="E299" i="8"/>
  <c r="H299" i="8"/>
  <c r="C300" i="8"/>
  <c r="D300" i="8"/>
  <c r="E300" i="8"/>
  <c r="H300" i="8"/>
  <c r="C301" i="8"/>
  <c r="D301" i="8"/>
  <c r="E301" i="8"/>
  <c r="H301" i="8"/>
  <c r="C302" i="8"/>
  <c r="D302" i="8"/>
  <c r="E302" i="8"/>
  <c r="H302" i="8"/>
  <c r="C303" i="8"/>
  <c r="D303" i="8"/>
  <c r="E303" i="8"/>
  <c r="H303" i="8"/>
  <c r="C304" i="8"/>
  <c r="D304" i="8"/>
  <c r="E304" i="8"/>
  <c r="H304" i="8"/>
  <c r="C305" i="8"/>
  <c r="D305" i="8"/>
  <c r="E305" i="8"/>
  <c r="H305" i="8"/>
  <c r="C306" i="8"/>
  <c r="D306" i="8"/>
  <c r="E306" i="8"/>
  <c r="H306" i="8"/>
  <c r="C307" i="8"/>
  <c r="D307" i="8"/>
  <c r="E307" i="8"/>
  <c r="H307" i="8"/>
  <c r="C308" i="8"/>
  <c r="D308" i="8"/>
  <c r="E308" i="8"/>
  <c r="H308" i="8"/>
  <c r="C309" i="8"/>
  <c r="D309" i="8"/>
  <c r="E309" i="8"/>
  <c r="H309" i="8"/>
  <c r="C310" i="8"/>
  <c r="D310" i="8"/>
  <c r="E310" i="8"/>
  <c r="H310" i="8"/>
  <c r="C311" i="8"/>
  <c r="D311" i="8"/>
  <c r="E311" i="8"/>
  <c r="H311" i="8"/>
  <c r="C312" i="8"/>
  <c r="D312" i="8"/>
  <c r="E312" i="8"/>
  <c r="H312" i="8"/>
  <c r="C313" i="8"/>
  <c r="D313" i="8"/>
  <c r="E313" i="8"/>
  <c r="H313" i="8"/>
  <c r="C314" i="8"/>
  <c r="D314" i="8"/>
  <c r="E314" i="8"/>
  <c r="H314" i="8"/>
  <c r="C315" i="8"/>
  <c r="D315" i="8"/>
  <c r="E315" i="8"/>
  <c r="H315" i="8"/>
  <c r="C316" i="8"/>
  <c r="D316" i="8"/>
  <c r="E316" i="8"/>
  <c r="H316" i="8"/>
  <c r="C317" i="8"/>
  <c r="D317" i="8"/>
  <c r="E317" i="8"/>
  <c r="H317" i="8"/>
  <c r="C318" i="8"/>
  <c r="D318" i="8"/>
  <c r="E318" i="8"/>
  <c r="H318" i="8"/>
  <c r="C319" i="8"/>
  <c r="D319" i="8"/>
  <c r="E319" i="8"/>
  <c r="H319" i="8"/>
  <c r="C320" i="8"/>
  <c r="D320" i="8"/>
  <c r="E320" i="8"/>
  <c r="H320" i="8"/>
  <c r="C321" i="8"/>
  <c r="D321" i="8"/>
  <c r="E321" i="8"/>
  <c r="H321" i="8"/>
  <c r="C322" i="8"/>
  <c r="D322" i="8"/>
  <c r="E322" i="8"/>
  <c r="H322" i="8"/>
  <c r="C323" i="8"/>
  <c r="D323" i="8"/>
  <c r="E323" i="8"/>
  <c r="H323" i="8"/>
  <c r="C324" i="8"/>
  <c r="D324" i="8"/>
  <c r="E324" i="8"/>
  <c r="H324" i="8"/>
  <c r="C325" i="8"/>
  <c r="D325" i="8"/>
  <c r="E325" i="8"/>
  <c r="H325" i="8"/>
  <c r="C326" i="8"/>
  <c r="D326" i="8"/>
  <c r="E326" i="8"/>
  <c r="H326" i="8"/>
  <c r="C327" i="8"/>
  <c r="D327" i="8"/>
  <c r="E327" i="8"/>
  <c r="H327" i="8"/>
  <c r="C328" i="8"/>
  <c r="D328" i="8"/>
  <c r="E328" i="8"/>
  <c r="H328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C195" i="8"/>
  <c r="D195" i="8"/>
  <c r="E195" i="8"/>
  <c r="H195" i="8"/>
  <c r="C196" i="8"/>
  <c r="D196" i="8"/>
  <c r="E196" i="8"/>
  <c r="H196" i="8"/>
  <c r="C197" i="8"/>
  <c r="D197" i="8"/>
  <c r="E197" i="8"/>
  <c r="H197" i="8"/>
  <c r="C198" i="8"/>
  <c r="D198" i="8"/>
  <c r="E198" i="8"/>
  <c r="H198" i="8"/>
  <c r="C199" i="8"/>
  <c r="D199" i="8"/>
  <c r="E199" i="8"/>
  <c r="H199" i="8"/>
  <c r="C200" i="8"/>
  <c r="D200" i="8"/>
  <c r="E200" i="8"/>
  <c r="H200" i="8"/>
  <c r="C201" i="8"/>
  <c r="D201" i="8"/>
  <c r="E201" i="8"/>
  <c r="H201" i="8"/>
  <c r="C202" i="8"/>
  <c r="D202" i="8"/>
  <c r="E202" i="8"/>
  <c r="H202" i="8"/>
  <c r="C203" i="8"/>
  <c r="D203" i="8"/>
  <c r="E203" i="8"/>
  <c r="H203" i="8"/>
  <c r="C204" i="8"/>
  <c r="D204" i="8"/>
  <c r="E204" i="8"/>
  <c r="H204" i="8"/>
  <c r="C205" i="8"/>
  <c r="D205" i="8"/>
  <c r="E205" i="8"/>
  <c r="H205" i="8"/>
  <c r="C206" i="8"/>
  <c r="D206" i="8"/>
  <c r="E206" i="8"/>
  <c r="H206" i="8"/>
  <c r="C207" i="8"/>
  <c r="D207" i="8"/>
  <c r="E207" i="8"/>
  <c r="H207" i="8"/>
  <c r="C208" i="8"/>
  <c r="D208" i="8"/>
  <c r="E208" i="8"/>
  <c r="H208" i="8"/>
  <c r="C209" i="8"/>
  <c r="D209" i="8"/>
  <c r="E209" i="8"/>
  <c r="H209" i="8"/>
  <c r="C210" i="8"/>
  <c r="D210" i="8"/>
  <c r="E210" i="8"/>
  <c r="H210" i="8"/>
  <c r="C211" i="8"/>
  <c r="D211" i="8"/>
  <c r="E211" i="8"/>
  <c r="H211" i="8"/>
  <c r="C212" i="8"/>
  <c r="D212" i="8"/>
  <c r="E212" i="8"/>
  <c r="H212" i="8"/>
  <c r="C213" i="8"/>
  <c r="D213" i="8"/>
  <c r="E213" i="8"/>
  <c r="H213" i="8"/>
  <c r="C214" i="8"/>
  <c r="D214" i="8"/>
  <c r="E214" i="8"/>
  <c r="H214" i="8"/>
  <c r="C215" i="8"/>
  <c r="D215" i="8"/>
  <c r="E215" i="8"/>
  <c r="H215" i="8"/>
  <c r="C216" i="8"/>
  <c r="D216" i="8"/>
  <c r="E216" i="8"/>
  <c r="H216" i="8"/>
  <c r="C217" i="8"/>
  <c r="D217" i="8"/>
  <c r="E217" i="8"/>
  <c r="H217" i="8"/>
  <c r="C218" i="8"/>
  <c r="D218" i="8"/>
  <c r="E218" i="8"/>
  <c r="H218" i="8"/>
  <c r="C219" i="8"/>
  <c r="D219" i="8"/>
  <c r="E219" i="8"/>
  <c r="H219" i="8"/>
  <c r="C220" i="8"/>
  <c r="D220" i="8"/>
  <c r="E220" i="8"/>
  <c r="H220" i="8"/>
  <c r="C221" i="8"/>
  <c r="D221" i="8"/>
  <c r="E221" i="8"/>
  <c r="H221" i="8"/>
  <c r="C222" i="8"/>
  <c r="D222" i="8"/>
  <c r="E222" i="8"/>
  <c r="H222" i="8"/>
  <c r="C223" i="8"/>
  <c r="D223" i="8"/>
  <c r="E223" i="8"/>
  <c r="H223" i="8"/>
  <c r="C224" i="8"/>
  <c r="D224" i="8"/>
  <c r="E224" i="8"/>
  <c r="H224" i="8"/>
  <c r="C225" i="8"/>
  <c r="D225" i="8"/>
  <c r="E225" i="8"/>
  <c r="H225" i="8"/>
  <c r="C226" i="8"/>
  <c r="D226" i="8"/>
  <c r="E226" i="8"/>
  <c r="H226" i="8"/>
  <c r="C227" i="8"/>
  <c r="D227" i="8"/>
  <c r="E227" i="8"/>
  <c r="H227" i="8"/>
  <c r="C228" i="8"/>
  <c r="D228" i="8"/>
  <c r="E228" i="8"/>
  <c r="H228" i="8"/>
  <c r="C229" i="8"/>
  <c r="D229" i="8"/>
  <c r="E229" i="8"/>
  <c r="H229" i="8"/>
  <c r="C230" i="8"/>
  <c r="D230" i="8"/>
  <c r="E230" i="8"/>
  <c r="H230" i="8"/>
  <c r="C231" i="8"/>
  <c r="D231" i="8"/>
  <c r="E231" i="8"/>
  <c r="H231" i="8"/>
  <c r="C232" i="8"/>
  <c r="D232" i="8"/>
  <c r="E232" i="8"/>
  <c r="H232" i="8"/>
  <c r="C233" i="8"/>
  <c r="D233" i="8"/>
  <c r="E233" i="8"/>
  <c r="H233" i="8"/>
  <c r="C234" i="8"/>
  <c r="D234" i="8"/>
  <c r="E234" i="8"/>
  <c r="H234" i="8"/>
  <c r="C235" i="8"/>
  <c r="D235" i="8"/>
  <c r="E235" i="8"/>
  <c r="H235" i="8"/>
  <c r="C236" i="8"/>
  <c r="D236" i="8"/>
  <c r="E236" i="8"/>
  <c r="H236" i="8"/>
  <c r="C237" i="8"/>
  <c r="D237" i="8"/>
  <c r="E237" i="8"/>
  <c r="H237" i="8"/>
  <c r="C238" i="8"/>
  <c r="D238" i="8"/>
  <c r="E238" i="8"/>
  <c r="H238" i="8"/>
  <c r="C239" i="8"/>
  <c r="D239" i="8"/>
  <c r="E239" i="8"/>
  <c r="H239" i="8"/>
  <c r="C240" i="8"/>
  <c r="D240" i="8"/>
  <c r="E240" i="8"/>
  <c r="H240" i="8"/>
  <c r="C241" i="8"/>
  <c r="D241" i="8"/>
  <c r="E241" i="8"/>
  <c r="H241" i="8"/>
  <c r="C242" i="8"/>
  <c r="D242" i="8"/>
  <c r="E242" i="8"/>
  <c r="H242" i="8"/>
  <c r="C243" i="8"/>
  <c r="D243" i="8"/>
  <c r="E243" i="8"/>
  <c r="H243" i="8"/>
  <c r="C244" i="8"/>
  <c r="D244" i="8"/>
  <c r="E244" i="8"/>
  <c r="H244" i="8"/>
  <c r="C245" i="8"/>
  <c r="D245" i="8"/>
  <c r="E245" i="8"/>
  <c r="H245" i="8"/>
  <c r="C246" i="8"/>
  <c r="D246" i="8"/>
  <c r="E246" i="8"/>
  <c r="H246" i="8"/>
  <c r="C247" i="8"/>
  <c r="D247" i="8"/>
  <c r="E247" i="8"/>
  <c r="H247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C113" i="8"/>
  <c r="D113" i="8"/>
  <c r="E113" i="8"/>
  <c r="H113" i="8"/>
  <c r="C114" i="8"/>
  <c r="D114" i="8"/>
  <c r="E114" i="8"/>
  <c r="H114" i="8"/>
  <c r="C115" i="8"/>
  <c r="D115" i="8"/>
  <c r="E115" i="8"/>
  <c r="H115" i="8"/>
  <c r="C116" i="8"/>
  <c r="D116" i="8"/>
  <c r="E116" i="8"/>
  <c r="H116" i="8"/>
  <c r="C117" i="8"/>
  <c r="D117" i="8"/>
  <c r="E117" i="8"/>
  <c r="H117" i="8"/>
  <c r="C118" i="8"/>
  <c r="D118" i="8"/>
  <c r="E118" i="8"/>
  <c r="H118" i="8"/>
  <c r="C119" i="8"/>
  <c r="D119" i="8"/>
  <c r="E119" i="8"/>
  <c r="H119" i="8"/>
  <c r="C120" i="8"/>
  <c r="D120" i="8"/>
  <c r="E120" i="8"/>
  <c r="H120" i="8"/>
  <c r="C121" i="8"/>
  <c r="D121" i="8"/>
  <c r="E121" i="8"/>
  <c r="H121" i="8"/>
  <c r="C122" i="8"/>
  <c r="D122" i="8"/>
  <c r="E122" i="8"/>
  <c r="H122" i="8"/>
  <c r="C123" i="8"/>
  <c r="D123" i="8"/>
  <c r="E123" i="8"/>
  <c r="H123" i="8"/>
  <c r="C124" i="8"/>
  <c r="D124" i="8"/>
  <c r="E124" i="8"/>
  <c r="H124" i="8"/>
  <c r="C125" i="8"/>
  <c r="D125" i="8"/>
  <c r="E125" i="8"/>
  <c r="H125" i="8"/>
  <c r="C126" i="8"/>
  <c r="D126" i="8"/>
  <c r="E126" i="8"/>
  <c r="H126" i="8"/>
  <c r="C127" i="8"/>
  <c r="D127" i="8"/>
  <c r="E127" i="8"/>
  <c r="H127" i="8"/>
  <c r="C128" i="8"/>
  <c r="D128" i="8"/>
  <c r="E128" i="8"/>
  <c r="H128" i="8"/>
  <c r="C129" i="8"/>
  <c r="D129" i="8"/>
  <c r="E129" i="8"/>
  <c r="H129" i="8"/>
  <c r="C130" i="8"/>
  <c r="D130" i="8"/>
  <c r="E130" i="8"/>
  <c r="H130" i="8"/>
  <c r="C131" i="8"/>
  <c r="D131" i="8"/>
  <c r="E131" i="8"/>
  <c r="H131" i="8"/>
  <c r="C132" i="8"/>
  <c r="D132" i="8"/>
  <c r="E132" i="8"/>
  <c r="H132" i="8"/>
  <c r="C133" i="8"/>
  <c r="D133" i="8"/>
  <c r="E133" i="8"/>
  <c r="H133" i="8"/>
  <c r="C134" i="8"/>
  <c r="D134" i="8"/>
  <c r="E134" i="8"/>
  <c r="H134" i="8"/>
  <c r="C135" i="8"/>
  <c r="D135" i="8"/>
  <c r="E135" i="8"/>
  <c r="H135" i="8"/>
  <c r="C136" i="8"/>
  <c r="D136" i="8"/>
  <c r="E136" i="8"/>
  <c r="H136" i="8"/>
  <c r="C137" i="8"/>
  <c r="D137" i="8"/>
  <c r="E137" i="8"/>
  <c r="H137" i="8"/>
  <c r="C138" i="8"/>
  <c r="D138" i="8"/>
  <c r="E138" i="8"/>
  <c r="H138" i="8"/>
  <c r="C139" i="8"/>
  <c r="D139" i="8"/>
  <c r="E139" i="8"/>
  <c r="H139" i="8"/>
  <c r="C140" i="8"/>
  <c r="D140" i="8"/>
  <c r="E140" i="8"/>
  <c r="H140" i="8"/>
  <c r="C141" i="8"/>
  <c r="D141" i="8"/>
  <c r="E141" i="8"/>
  <c r="H141" i="8"/>
  <c r="C142" i="8"/>
  <c r="D142" i="8"/>
  <c r="E142" i="8"/>
  <c r="H142" i="8"/>
  <c r="C143" i="8"/>
  <c r="D143" i="8"/>
  <c r="E143" i="8"/>
  <c r="H143" i="8"/>
  <c r="C144" i="8"/>
  <c r="D144" i="8"/>
  <c r="E144" i="8"/>
  <c r="H144" i="8"/>
  <c r="C145" i="8"/>
  <c r="D145" i="8"/>
  <c r="E145" i="8"/>
  <c r="H145" i="8"/>
  <c r="C146" i="8"/>
  <c r="D146" i="8"/>
  <c r="E146" i="8"/>
  <c r="H146" i="8"/>
  <c r="C147" i="8"/>
  <c r="D147" i="8"/>
  <c r="E147" i="8"/>
  <c r="H147" i="8"/>
  <c r="C148" i="8"/>
  <c r="D148" i="8"/>
  <c r="E148" i="8"/>
  <c r="H148" i="8"/>
  <c r="C149" i="8"/>
  <c r="D149" i="8"/>
  <c r="E149" i="8"/>
  <c r="H149" i="8"/>
  <c r="C150" i="8"/>
  <c r="D150" i="8"/>
  <c r="E150" i="8"/>
  <c r="H150" i="8"/>
  <c r="C151" i="8"/>
  <c r="D151" i="8"/>
  <c r="E151" i="8"/>
  <c r="H151" i="8"/>
  <c r="C152" i="8"/>
  <c r="D152" i="8"/>
  <c r="E152" i="8"/>
  <c r="H152" i="8"/>
  <c r="C153" i="8"/>
  <c r="D153" i="8"/>
  <c r="E153" i="8"/>
  <c r="H153" i="8"/>
  <c r="C154" i="8"/>
  <c r="D154" i="8"/>
  <c r="E154" i="8"/>
  <c r="H154" i="8"/>
  <c r="C155" i="8"/>
  <c r="D155" i="8"/>
  <c r="E155" i="8"/>
  <c r="H155" i="8"/>
  <c r="C156" i="8"/>
  <c r="D156" i="8"/>
  <c r="E156" i="8"/>
  <c r="H156" i="8"/>
  <c r="C157" i="8"/>
  <c r="D157" i="8"/>
  <c r="E157" i="8"/>
  <c r="H157" i="8"/>
  <c r="C158" i="8"/>
  <c r="D158" i="8"/>
  <c r="E158" i="8"/>
  <c r="H158" i="8"/>
  <c r="C159" i="8"/>
  <c r="D159" i="8"/>
  <c r="E159" i="8"/>
  <c r="H159" i="8"/>
  <c r="C160" i="8"/>
  <c r="D160" i="8"/>
  <c r="E160" i="8"/>
  <c r="H160" i="8"/>
  <c r="C161" i="8"/>
  <c r="D161" i="8"/>
  <c r="E161" i="8"/>
  <c r="H161" i="8"/>
  <c r="C162" i="8"/>
  <c r="D162" i="8"/>
  <c r="E162" i="8"/>
  <c r="H162" i="8"/>
  <c r="C163" i="8"/>
  <c r="D163" i="8"/>
  <c r="E163" i="8"/>
  <c r="H163" i="8"/>
  <c r="C164" i="8"/>
  <c r="D164" i="8"/>
  <c r="E164" i="8"/>
  <c r="H164" i="8"/>
  <c r="C165" i="8"/>
  <c r="D165" i="8"/>
  <c r="E165" i="8"/>
  <c r="H165" i="8"/>
  <c r="C166" i="8"/>
  <c r="D166" i="8"/>
  <c r="E166" i="8"/>
  <c r="H166" i="8"/>
  <c r="A125" i="8"/>
  <c r="A124" i="8"/>
  <c r="A123" i="8"/>
  <c r="A122" i="8"/>
  <c r="A121" i="8"/>
  <c r="A120" i="8"/>
  <c r="A119" i="8"/>
  <c r="A118" i="8"/>
  <c r="A117" i="8"/>
  <c r="A116" i="8"/>
  <c r="A135" i="8"/>
  <c r="A134" i="8"/>
  <c r="A133" i="8"/>
  <c r="A132" i="8"/>
  <c r="A131" i="8"/>
  <c r="A130" i="8"/>
  <c r="A129" i="8"/>
  <c r="A128" i="8"/>
  <c r="A127" i="8"/>
  <c r="A126" i="8"/>
  <c r="A145" i="8"/>
  <c r="A144" i="8"/>
  <c r="A143" i="8"/>
  <c r="A142" i="8"/>
  <c r="A141" i="8"/>
  <c r="A140" i="8"/>
  <c r="A139" i="8"/>
  <c r="A138" i="8"/>
  <c r="A137" i="8"/>
  <c r="A136" i="8"/>
  <c r="A155" i="8"/>
  <c r="A154" i="8"/>
  <c r="A153" i="8"/>
  <c r="A152" i="8"/>
  <c r="A151" i="8"/>
  <c r="A150" i="8"/>
  <c r="A149" i="8"/>
  <c r="A148" i="8"/>
  <c r="A147" i="8"/>
  <c r="A146" i="8"/>
  <c r="A165" i="8"/>
  <c r="A164" i="8"/>
  <c r="A163" i="8"/>
  <c r="A162" i="8"/>
  <c r="A161" i="8"/>
  <c r="A160" i="8"/>
  <c r="A159" i="8"/>
  <c r="A158" i="8"/>
  <c r="A157" i="8"/>
  <c r="A156" i="8"/>
  <c r="D35" i="8"/>
  <c r="E35" i="8"/>
  <c r="H35" i="8"/>
  <c r="D36" i="8"/>
  <c r="E36" i="8"/>
  <c r="H36" i="8"/>
  <c r="D37" i="8"/>
  <c r="E37" i="8"/>
  <c r="H37" i="8"/>
  <c r="D38" i="8"/>
  <c r="E38" i="8"/>
  <c r="H38" i="8"/>
  <c r="D39" i="8"/>
  <c r="E39" i="8"/>
  <c r="H39" i="8"/>
  <c r="D40" i="8"/>
  <c r="E40" i="8"/>
  <c r="H40" i="8"/>
  <c r="D41" i="8"/>
  <c r="E41" i="8"/>
  <c r="H41" i="8"/>
  <c r="D42" i="8"/>
  <c r="E42" i="8"/>
  <c r="H42" i="8"/>
  <c r="D43" i="8"/>
  <c r="E43" i="8"/>
  <c r="H43" i="8"/>
  <c r="D44" i="8"/>
  <c r="E44" i="8"/>
  <c r="H44" i="8"/>
  <c r="D45" i="8"/>
  <c r="E45" i="8"/>
  <c r="H45" i="8"/>
  <c r="D46" i="8"/>
  <c r="E46" i="8"/>
  <c r="H46" i="8"/>
  <c r="D47" i="8"/>
  <c r="E47" i="8"/>
  <c r="H47" i="8"/>
  <c r="D48" i="8"/>
  <c r="E48" i="8"/>
  <c r="H48" i="8"/>
  <c r="D49" i="8"/>
  <c r="E49" i="8"/>
  <c r="H49" i="8"/>
  <c r="D50" i="8"/>
  <c r="E50" i="8"/>
  <c r="H50" i="8"/>
  <c r="D51" i="8"/>
  <c r="E51" i="8"/>
  <c r="H51" i="8"/>
  <c r="D52" i="8"/>
  <c r="E52" i="8"/>
  <c r="H52" i="8"/>
  <c r="D53" i="8"/>
  <c r="E53" i="8"/>
  <c r="H53" i="8"/>
  <c r="D54" i="8"/>
  <c r="E54" i="8"/>
  <c r="H54" i="8"/>
  <c r="D55" i="8"/>
  <c r="E55" i="8"/>
  <c r="H55" i="8"/>
  <c r="D56" i="8"/>
  <c r="E56" i="8"/>
  <c r="H56" i="8"/>
  <c r="D57" i="8"/>
  <c r="E57" i="8"/>
  <c r="H57" i="8"/>
  <c r="D58" i="8"/>
  <c r="E58" i="8"/>
  <c r="H58" i="8"/>
  <c r="D59" i="8"/>
  <c r="E59" i="8"/>
  <c r="H59" i="8"/>
  <c r="D60" i="8"/>
  <c r="E60" i="8"/>
  <c r="H60" i="8"/>
  <c r="D61" i="8"/>
  <c r="E61" i="8"/>
  <c r="H61" i="8"/>
  <c r="D62" i="8"/>
  <c r="E62" i="8"/>
  <c r="H62" i="8"/>
  <c r="D63" i="8"/>
  <c r="E63" i="8"/>
  <c r="H63" i="8"/>
  <c r="D64" i="8"/>
  <c r="E64" i="8"/>
  <c r="H64" i="8"/>
  <c r="D65" i="8"/>
  <c r="E65" i="8"/>
  <c r="H65" i="8"/>
  <c r="D66" i="8"/>
  <c r="E66" i="8"/>
  <c r="H66" i="8"/>
  <c r="D67" i="8"/>
  <c r="E67" i="8"/>
  <c r="H67" i="8"/>
  <c r="D68" i="8"/>
  <c r="E68" i="8"/>
  <c r="H68" i="8"/>
  <c r="D69" i="8"/>
  <c r="E69" i="8"/>
  <c r="H69" i="8"/>
  <c r="D70" i="8"/>
  <c r="E70" i="8"/>
  <c r="H70" i="8"/>
  <c r="D71" i="8"/>
  <c r="E71" i="8"/>
  <c r="H71" i="8"/>
  <c r="D72" i="8"/>
  <c r="E72" i="8"/>
  <c r="H72" i="8"/>
  <c r="D73" i="8"/>
  <c r="E73" i="8"/>
  <c r="H73" i="8"/>
  <c r="D74" i="8"/>
  <c r="E74" i="8"/>
  <c r="H74" i="8"/>
  <c r="D75" i="8"/>
  <c r="E75" i="8"/>
  <c r="H75" i="8"/>
  <c r="D76" i="8"/>
  <c r="E76" i="8"/>
  <c r="H76" i="8"/>
  <c r="D77" i="8"/>
  <c r="E77" i="8"/>
  <c r="H77" i="8"/>
  <c r="D78" i="8"/>
  <c r="E78" i="8"/>
  <c r="H78" i="8"/>
  <c r="D79" i="8"/>
  <c r="E79" i="8"/>
  <c r="H79" i="8"/>
  <c r="D80" i="8"/>
  <c r="E80" i="8"/>
  <c r="H80" i="8"/>
  <c r="D81" i="8"/>
  <c r="E81" i="8"/>
  <c r="H81" i="8"/>
  <c r="D82" i="8"/>
  <c r="E82" i="8"/>
  <c r="H82" i="8"/>
  <c r="D83" i="8"/>
  <c r="E83" i="8"/>
  <c r="H83" i="8"/>
  <c r="D84" i="8"/>
  <c r="E84" i="8"/>
  <c r="H84" i="8"/>
  <c r="D85" i="8"/>
  <c r="E85" i="8"/>
  <c r="H85" i="8"/>
  <c r="C85" i="8"/>
  <c r="A85" i="8"/>
  <c r="C84" i="8"/>
  <c r="A84" i="8"/>
  <c r="C83" i="8"/>
  <c r="A83" i="8"/>
  <c r="C82" i="8"/>
  <c r="A82" i="8"/>
  <c r="C81" i="8"/>
  <c r="A81" i="8"/>
  <c r="C80" i="8"/>
  <c r="A80" i="8"/>
  <c r="C79" i="8"/>
  <c r="A79" i="8"/>
  <c r="C78" i="8"/>
  <c r="A78" i="8"/>
  <c r="C77" i="8"/>
  <c r="A77" i="8"/>
  <c r="C76" i="8"/>
  <c r="A76" i="8"/>
  <c r="C75" i="8"/>
  <c r="A75" i="8"/>
  <c r="C74" i="8"/>
  <c r="A74" i="8"/>
  <c r="C73" i="8"/>
  <c r="A73" i="8"/>
  <c r="C72" i="8"/>
  <c r="A72" i="8"/>
  <c r="C71" i="8"/>
  <c r="A71" i="8"/>
  <c r="C70" i="8"/>
  <c r="A70" i="8"/>
  <c r="C69" i="8"/>
  <c r="A69" i="8"/>
  <c r="C68" i="8"/>
  <c r="A68" i="8"/>
  <c r="C67" i="8"/>
  <c r="A67" i="8"/>
  <c r="C66" i="8"/>
  <c r="A66" i="8"/>
  <c r="C65" i="8"/>
  <c r="A65" i="8"/>
  <c r="C64" i="8"/>
  <c r="A64" i="8"/>
  <c r="C63" i="8"/>
  <c r="A63" i="8"/>
  <c r="C62" i="8"/>
  <c r="A62" i="8"/>
  <c r="C61" i="8"/>
  <c r="A61" i="8"/>
  <c r="C60" i="8"/>
  <c r="A60" i="8"/>
  <c r="C59" i="8"/>
  <c r="A59" i="8"/>
  <c r="C58" i="8"/>
  <c r="A58" i="8"/>
  <c r="C57" i="8"/>
  <c r="A57" i="8"/>
  <c r="C56" i="8"/>
  <c r="A56" i="8"/>
  <c r="C55" i="8"/>
  <c r="A55" i="8"/>
  <c r="C54" i="8"/>
  <c r="A54" i="8"/>
  <c r="C53" i="8"/>
  <c r="A53" i="8"/>
  <c r="C52" i="8"/>
  <c r="A52" i="8"/>
  <c r="C51" i="8"/>
  <c r="A51" i="8"/>
  <c r="C50" i="8"/>
  <c r="A50" i="8"/>
  <c r="C49" i="8"/>
  <c r="A49" i="8"/>
  <c r="C48" i="8"/>
  <c r="A48" i="8"/>
  <c r="C47" i="8"/>
  <c r="A47" i="8"/>
  <c r="C46" i="8"/>
  <c r="A46" i="8"/>
  <c r="C45" i="8"/>
  <c r="A45" i="8"/>
  <c r="C44" i="8"/>
  <c r="A44" i="8"/>
  <c r="C43" i="8"/>
  <c r="A43" i="8"/>
  <c r="C42" i="8"/>
  <c r="A42" i="8"/>
  <c r="C41" i="8"/>
  <c r="A41" i="8"/>
  <c r="C40" i="8"/>
  <c r="A40" i="8"/>
  <c r="C39" i="8"/>
  <c r="A39" i="8"/>
  <c r="C38" i="8"/>
  <c r="A38" i="8"/>
  <c r="C37" i="8"/>
  <c r="A37" i="8"/>
  <c r="C36" i="8"/>
  <c r="A36" i="8"/>
  <c r="N85" i="1"/>
  <c r="O85" i="1" s="1"/>
  <c r="G408" i="8" s="1"/>
  <c r="K85" i="1"/>
  <c r="L85" i="1" s="1"/>
  <c r="G327" i="8" s="1"/>
  <c r="H85" i="1"/>
  <c r="I85" i="1" s="1"/>
  <c r="G246" i="8" s="1"/>
  <c r="B85" i="1"/>
  <c r="C85" i="1" s="1"/>
  <c r="G84" i="8" s="1"/>
  <c r="N84" i="1"/>
  <c r="O84" i="1" s="1"/>
  <c r="G407" i="8" s="1"/>
  <c r="K84" i="1"/>
  <c r="L84" i="1" s="1"/>
  <c r="G326" i="8" s="1"/>
  <c r="H84" i="1"/>
  <c r="I84" i="1" s="1"/>
  <c r="G245" i="8" s="1"/>
  <c r="B84" i="1"/>
  <c r="C84" i="1" s="1"/>
  <c r="G83" i="8" s="1"/>
  <c r="N83" i="1"/>
  <c r="O83" i="1" s="1"/>
  <c r="G406" i="8" s="1"/>
  <c r="K83" i="1"/>
  <c r="L83" i="1" s="1"/>
  <c r="G325" i="8" s="1"/>
  <c r="H83" i="1"/>
  <c r="I83" i="1" s="1"/>
  <c r="G244" i="8" s="1"/>
  <c r="B83" i="1"/>
  <c r="C83" i="1" s="1"/>
  <c r="G82" i="8" s="1"/>
  <c r="N82" i="1"/>
  <c r="O82" i="1" s="1"/>
  <c r="G405" i="8" s="1"/>
  <c r="K82" i="1"/>
  <c r="L82" i="1" s="1"/>
  <c r="G324" i="8" s="1"/>
  <c r="H82" i="1"/>
  <c r="I82" i="1" s="1"/>
  <c r="G243" i="8" s="1"/>
  <c r="B82" i="1"/>
  <c r="C82" i="1" s="1"/>
  <c r="G81" i="8" s="1"/>
  <c r="N81" i="1"/>
  <c r="O81" i="1" s="1"/>
  <c r="G404" i="8" s="1"/>
  <c r="K81" i="1"/>
  <c r="L81" i="1" s="1"/>
  <c r="G323" i="8" s="1"/>
  <c r="H81" i="1"/>
  <c r="I81" i="1" s="1"/>
  <c r="G242" i="8" s="1"/>
  <c r="B81" i="1"/>
  <c r="C81" i="1" s="1"/>
  <c r="G80" i="8" s="1"/>
  <c r="N80" i="1"/>
  <c r="O80" i="1" s="1"/>
  <c r="G403" i="8" s="1"/>
  <c r="K80" i="1"/>
  <c r="L80" i="1" s="1"/>
  <c r="G322" i="8" s="1"/>
  <c r="H80" i="1"/>
  <c r="I80" i="1" s="1"/>
  <c r="G241" i="8" s="1"/>
  <c r="B80" i="1"/>
  <c r="C80" i="1" s="1"/>
  <c r="G79" i="8" s="1"/>
  <c r="N79" i="1"/>
  <c r="O79" i="1" s="1"/>
  <c r="G402" i="8" s="1"/>
  <c r="K79" i="1"/>
  <c r="L79" i="1" s="1"/>
  <c r="G321" i="8" s="1"/>
  <c r="H79" i="1"/>
  <c r="I79" i="1" s="1"/>
  <c r="G240" i="8" s="1"/>
  <c r="B79" i="1"/>
  <c r="C79" i="1" s="1"/>
  <c r="G78" i="8" s="1"/>
  <c r="N78" i="1"/>
  <c r="O78" i="1" s="1"/>
  <c r="G401" i="8" s="1"/>
  <c r="K78" i="1"/>
  <c r="L78" i="1" s="1"/>
  <c r="G320" i="8" s="1"/>
  <c r="H78" i="1"/>
  <c r="I78" i="1" s="1"/>
  <c r="G239" i="8" s="1"/>
  <c r="B78" i="1"/>
  <c r="C78" i="1" s="1"/>
  <c r="G77" i="8" s="1"/>
  <c r="N77" i="1"/>
  <c r="O77" i="1" s="1"/>
  <c r="G400" i="8" s="1"/>
  <c r="K77" i="1"/>
  <c r="L77" i="1" s="1"/>
  <c r="G319" i="8" s="1"/>
  <c r="H77" i="1"/>
  <c r="I77" i="1" s="1"/>
  <c r="G238" i="8" s="1"/>
  <c r="B77" i="1"/>
  <c r="C77" i="1" s="1"/>
  <c r="G76" i="8" s="1"/>
  <c r="N76" i="1"/>
  <c r="O76" i="1" s="1"/>
  <c r="G399" i="8" s="1"/>
  <c r="K76" i="1"/>
  <c r="L76" i="1" s="1"/>
  <c r="G318" i="8" s="1"/>
  <c r="H76" i="1"/>
  <c r="I76" i="1" s="1"/>
  <c r="G237" i="8" s="1"/>
  <c r="B76" i="1"/>
  <c r="C76" i="1" s="1"/>
  <c r="G75" i="8" s="1"/>
  <c r="N75" i="1"/>
  <c r="O75" i="1" s="1"/>
  <c r="G398" i="8" s="1"/>
  <c r="K75" i="1"/>
  <c r="L75" i="1" s="1"/>
  <c r="G317" i="8" s="1"/>
  <c r="H75" i="1"/>
  <c r="I75" i="1" s="1"/>
  <c r="G236" i="8" s="1"/>
  <c r="B75" i="1"/>
  <c r="C75" i="1" s="1"/>
  <c r="G74" i="8" s="1"/>
  <c r="N74" i="1"/>
  <c r="O74" i="1" s="1"/>
  <c r="G397" i="8" s="1"/>
  <c r="K74" i="1"/>
  <c r="L74" i="1" s="1"/>
  <c r="G316" i="8" s="1"/>
  <c r="H74" i="1"/>
  <c r="I74" i="1" s="1"/>
  <c r="G235" i="8" s="1"/>
  <c r="B74" i="1"/>
  <c r="C74" i="1" s="1"/>
  <c r="G73" i="8" s="1"/>
  <c r="N73" i="1"/>
  <c r="O73" i="1" s="1"/>
  <c r="G396" i="8" s="1"/>
  <c r="K73" i="1"/>
  <c r="L73" i="1" s="1"/>
  <c r="G315" i="8" s="1"/>
  <c r="H73" i="1"/>
  <c r="I73" i="1" s="1"/>
  <c r="G234" i="8" s="1"/>
  <c r="B73" i="1"/>
  <c r="C73" i="1" s="1"/>
  <c r="G72" i="8" s="1"/>
  <c r="N72" i="1"/>
  <c r="O72" i="1" s="1"/>
  <c r="G395" i="8" s="1"/>
  <c r="K72" i="1"/>
  <c r="L72" i="1" s="1"/>
  <c r="G314" i="8" s="1"/>
  <c r="H72" i="1"/>
  <c r="I72" i="1" s="1"/>
  <c r="G233" i="8" s="1"/>
  <c r="B72" i="1"/>
  <c r="C72" i="1" s="1"/>
  <c r="G71" i="8" s="1"/>
  <c r="N71" i="1"/>
  <c r="O71" i="1" s="1"/>
  <c r="G394" i="8" s="1"/>
  <c r="K71" i="1"/>
  <c r="L71" i="1" s="1"/>
  <c r="G313" i="8" s="1"/>
  <c r="H71" i="1"/>
  <c r="I71" i="1" s="1"/>
  <c r="G232" i="8" s="1"/>
  <c r="B71" i="1"/>
  <c r="C71" i="1" s="1"/>
  <c r="G70" i="8" s="1"/>
  <c r="N70" i="1"/>
  <c r="O70" i="1" s="1"/>
  <c r="G393" i="8" s="1"/>
  <c r="K70" i="1"/>
  <c r="L70" i="1" s="1"/>
  <c r="G312" i="8" s="1"/>
  <c r="H70" i="1"/>
  <c r="I70" i="1" s="1"/>
  <c r="G231" i="8" s="1"/>
  <c r="B70" i="1"/>
  <c r="C70" i="1" s="1"/>
  <c r="G69" i="8" s="1"/>
  <c r="N69" i="1"/>
  <c r="O69" i="1" s="1"/>
  <c r="G392" i="8" s="1"/>
  <c r="K69" i="1"/>
  <c r="L69" i="1" s="1"/>
  <c r="G311" i="8" s="1"/>
  <c r="H69" i="1"/>
  <c r="I69" i="1" s="1"/>
  <c r="G230" i="8" s="1"/>
  <c r="B69" i="1"/>
  <c r="C69" i="1" s="1"/>
  <c r="G68" i="8" s="1"/>
  <c r="N68" i="1"/>
  <c r="O68" i="1" s="1"/>
  <c r="G391" i="8" s="1"/>
  <c r="K68" i="1"/>
  <c r="L68" i="1" s="1"/>
  <c r="G310" i="8" s="1"/>
  <c r="H68" i="1"/>
  <c r="I68" i="1" s="1"/>
  <c r="G229" i="8" s="1"/>
  <c r="B68" i="1"/>
  <c r="C68" i="1" s="1"/>
  <c r="G67" i="8" s="1"/>
  <c r="N67" i="1"/>
  <c r="O67" i="1" s="1"/>
  <c r="G390" i="8" s="1"/>
  <c r="K67" i="1"/>
  <c r="L67" i="1" s="1"/>
  <c r="G309" i="8" s="1"/>
  <c r="H67" i="1"/>
  <c r="I67" i="1" s="1"/>
  <c r="G228" i="8" s="1"/>
  <c r="B67" i="1"/>
  <c r="C67" i="1" s="1"/>
  <c r="G66" i="8" s="1"/>
  <c r="N66" i="1"/>
  <c r="O66" i="1" s="1"/>
  <c r="G389" i="8" s="1"/>
  <c r="K66" i="1"/>
  <c r="L66" i="1" s="1"/>
  <c r="G308" i="8" s="1"/>
  <c r="H66" i="1"/>
  <c r="I66" i="1" s="1"/>
  <c r="G227" i="8" s="1"/>
  <c r="B66" i="1"/>
  <c r="C66" i="1" s="1"/>
  <c r="G65" i="8" s="1"/>
  <c r="N65" i="1"/>
  <c r="O65" i="1" s="1"/>
  <c r="G388" i="8" s="1"/>
  <c r="K65" i="1"/>
  <c r="L65" i="1" s="1"/>
  <c r="G307" i="8" s="1"/>
  <c r="H65" i="1"/>
  <c r="I65" i="1" s="1"/>
  <c r="G226" i="8" s="1"/>
  <c r="F65" i="1"/>
  <c r="G145" i="8" s="1"/>
  <c r="B65" i="1"/>
  <c r="C65" i="1" s="1"/>
  <c r="G64" i="8" s="1"/>
  <c r="N64" i="1"/>
  <c r="O64" i="1" s="1"/>
  <c r="G387" i="8" s="1"/>
  <c r="K64" i="1"/>
  <c r="L64" i="1" s="1"/>
  <c r="G306" i="8" s="1"/>
  <c r="H64" i="1"/>
  <c r="I64" i="1" s="1"/>
  <c r="G225" i="8" s="1"/>
  <c r="F64" i="1"/>
  <c r="G144" i="8" s="1"/>
  <c r="B64" i="1"/>
  <c r="C64" i="1" s="1"/>
  <c r="G63" i="8" s="1"/>
  <c r="N49" i="1"/>
  <c r="O49" i="1" s="1"/>
  <c r="G372" i="8" s="1"/>
  <c r="K49" i="1"/>
  <c r="L49" i="1" s="1"/>
  <c r="G291" i="8" s="1"/>
  <c r="H49" i="1"/>
  <c r="I49" i="1" s="1"/>
  <c r="G210" i="8" s="1"/>
  <c r="B49" i="1"/>
  <c r="C49" i="1" s="1"/>
  <c r="G48" i="8" s="1"/>
  <c r="N48" i="1"/>
  <c r="O48" i="1" s="1"/>
  <c r="G371" i="8" s="1"/>
  <c r="K48" i="1"/>
  <c r="L48" i="1" s="1"/>
  <c r="G290" i="8" s="1"/>
  <c r="H48" i="1"/>
  <c r="I48" i="1" s="1"/>
  <c r="G209" i="8" s="1"/>
  <c r="B48" i="1"/>
  <c r="C48" i="1" s="1"/>
  <c r="G47" i="8" s="1"/>
  <c r="N47" i="1"/>
  <c r="O47" i="1" s="1"/>
  <c r="G370" i="8" s="1"/>
  <c r="K47" i="1"/>
  <c r="L47" i="1" s="1"/>
  <c r="G289" i="8" s="1"/>
  <c r="H47" i="1"/>
  <c r="I47" i="1" s="1"/>
  <c r="G208" i="8" s="1"/>
  <c r="F47" i="1"/>
  <c r="G127" i="8" s="1"/>
  <c r="B47" i="1"/>
  <c r="C47" i="1" s="1"/>
  <c r="G46" i="8" s="1"/>
  <c r="N46" i="1"/>
  <c r="O46" i="1" s="1"/>
  <c r="G369" i="8" s="1"/>
  <c r="K46" i="1"/>
  <c r="L46" i="1" s="1"/>
  <c r="G288" i="8" s="1"/>
  <c r="H46" i="1"/>
  <c r="I46" i="1" s="1"/>
  <c r="G207" i="8" s="1"/>
  <c r="B46" i="1"/>
  <c r="C46" i="1" s="1"/>
  <c r="G45" i="8" s="1"/>
  <c r="N45" i="1"/>
  <c r="O45" i="1" s="1"/>
  <c r="G368" i="8" s="1"/>
  <c r="K45" i="1"/>
  <c r="L45" i="1" s="1"/>
  <c r="G287" i="8" s="1"/>
  <c r="H45" i="1"/>
  <c r="I45" i="1" s="1"/>
  <c r="G206" i="8" s="1"/>
  <c r="B45" i="1"/>
  <c r="C45" i="1" s="1"/>
  <c r="G44" i="8" s="1"/>
  <c r="N44" i="1"/>
  <c r="O44" i="1" s="1"/>
  <c r="G367" i="8" s="1"/>
  <c r="K44" i="1"/>
  <c r="L44" i="1" s="1"/>
  <c r="G286" i="8" s="1"/>
  <c r="H44" i="1"/>
  <c r="I44" i="1" s="1"/>
  <c r="G205" i="8" s="1"/>
  <c r="B44" i="1"/>
  <c r="C44" i="1" s="1"/>
  <c r="G43" i="8" s="1"/>
  <c r="N43" i="1"/>
  <c r="O43" i="1" s="1"/>
  <c r="G366" i="8" s="1"/>
  <c r="K43" i="1"/>
  <c r="L43" i="1" s="1"/>
  <c r="G285" i="8" s="1"/>
  <c r="H43" i="1"/>
  <c r="I43" i="1" s="1"/>
  <c r="G204" i="8" s="1"/>
  <c r="B43" i="1"/>
  <c r="C43" i="1" s="1"/>
  <c r="G42" i="8" s="1"/>
  <c r="N42" i="1"/>
  <c r="O42" i="1" s="1"/>
  <c r="G365" i="8" s="1"/>
  <c r="K42" i="1"/>
  <c r="L42" i="1" s="1"/>
  <c r="G284" i="8" s="1"/>
  <c r="H42" i="1"/>
  <c r="I42" i="1" s="1"/>
  <c r="G203" i="8" s="1"/>
  <c r="B42" i="1"/>
  <c r="C42" i="1" s="1"/>
  <c r="G41" i="8" s="1"/>
  <c r="N41" i="1"/>
  <c r="O41" i="1" s="1"/>
  <c r="G364" i="8" s="1"/>
  <c r="K41" i="1"/>
  <c r="L41" i="1" s="1"/>
  <c r="G283" i="8" s="1"/>
  <c r="H41" i="1"/>
  <c r="I41" i="1" s="1"/>
  <c r="G202" i="8" s="1"/>
  <c r="F41" i="1"/>
  <c r="G121" i="8" s="1"/>
  <c r="B41" i="1"/>
  <c r="C41" i="1" s="1"/>
  <c r="G40" i="8" s="1"/>
  <c r="N40" i="1"/>
  <c r="O40" i="1" s="1"/>
  <c r="G363" i="8" s="1"/>
  <c r="K40" i="1"/>
  <c r="L40" i="1" s="1"/>
  <c r="G282" i="8" s="1"/>
  <c r="H40" i="1"/>
  <c r="I40" i="1" s="1"/>
  <c r="G201" i="8" s="1"/>
  <c r="B40" i="1"/>
  <c r="C40" i="1" s="1"/>
  <c r="G39" i="8" s="1"/>
  <c r="N39" i="1"/>
  <c r="O39" i="1" s="1"/>
  <c r="G362" i="8" s="1"/>
  <c r="K39" i="1"/>
  <c r="L39" i="1" s="1"/>
  <c r="G281" i="8" s="1"/>
  <c r="H39" i="1"/>
  <c r="I39" i="1" s="1"/>
  <c r="G200" i="8" s="1"/>
  <c r="B39" i="1"/>
  <c r="C39" i="1" s="1"/>
  <c r="G38" i="8" s="1"/>
  <c r="N38" i="1"/>
  <c r="O38" i="1" s="1"/>
  <c r="G361" i="8" s="1"/>
  <c r="K38" i="1"/>
  <c r="L38" i="1" s="1"/>
  <c r="G280" i="8" s="1"/>
  <c r="H38" i="1"/>
  <c r="I38" i="1" s="1"/>
  <c r="G199" i="8" s="1"/>
  <c r="B38" i="1"/>
  <c r="C38" i="1" s="1"/>
  <c r="G37" i="8" s="1"/>
  <c r="N37" i="1"/>
  <c r="O37" i="1" s="1"/>
  <c r="G360" i="8" s="1"/>
  <c r="K37" i="1"/>
  <c r="L37" i="1" s="1"/>
  <c r="G279" i="8" s="1"/>
  <c r="H37" i="1"/>
  <c r="I37" i="1" s="1"/>
  <c r="G198" i="8" s="1"/>
  <c r="B37" i="1"/>
  <c r="C37" i="1" s="1"/>
  <c r="G36" i="8" s="1"/>
  <c r="N36" i="1"/>
  <c r="O36" i="1" s="1"/>
  <c r="G359" i="8" s="1"/>
  <c r="K36" i="1"/>
  <c r="L36" i="1" s="1"/>
  <c r="G278" i="8" s="1"/>
  <c r="H36" i="1"/>
  <c r="I36" i="1" s="1"/>
  <c r="G197" i="8" s="1"/>
  <c r="B36" i="1"/>
  <c r="C36" i="1" s="1"/>
  <c r="G35" i="8" s="1"/>
  <c r="N63" i="1"/>
  <c r="O63" i="1" s="1"/>
  <c r="G386" i="8" s="1"/>
  <c r="K63" i="1"/>
  <c r="L63" i="1" s="1"/>
  <c r="G305" i="8" s="1"/>
  <c r="H63" i="1"/>
  <c r="I63" i="1" s="1"/>
  <c r="G224" i="8" s="1"/>
  <c r="B63" i="1"/>
  <c r="C63" i="1" s="1"/>
  <c r="G62" i="8" s="1"/>
  <c r="N62" i="1"/>
  <c r="O62" i="1" s="1"/>
  <c r="G385" i="8" s="1"/>
  <c r="K62" i="1"/>
  <c r="L62" i="1" s="1"/>
  <c r="G304" i="8" s="1"/>
  <c r="H62" i="1"/>
  <c r="I62" i="1" s="1"/>
  <c r="G223" i="8" s="1"/>
  <c r="F62" i="1"/>
  <c r="G142" i="8" s="1"/>
  <c r="B62" i="1"/>
  <c r="C62" i="1" s="1"/>
  <c r="G61" i="8" s="1"/>
  <c r="N61" i="1"/>
  <c r="O61" i="1" s="1"/>
  <c r="G384" i="8" s="1"/>
  <c r="K61" i="1"/>
  <c r="L61" i="1" s="1"/>
  <c r="G303" i="8" s="1"/>
  <c r="H61" i="1"/>
  <c r="I61" i="1" s="1"/>
  <c r="G222" i="8" s="1"/>
  <c r="B61" i="1"/>
  <c r="C61" i="1" s="1"/>
  <c r="G60" i="8" s="1"/>
  <c r="N60" i="1"/>
  <c r="O60" i="1" s="1"/>
  <c r="G383" i="8" s="1"/>
  <c r="K60" i="1"/>
  <c r="L60" i="1" s="1"/>
  <c r="G302" i="8" s="1"/>
  <c r="H60" i="1"/>
  <c r="I60" i="1" s="1"/>
  <c r="G221" i="8" s="1"/>
  <c r="B60" i="1"/>
  <c r="C60" i="1" s="1"/>
  <c r="G59" i="8" s="1"/>
  <c r="N59" i="1"/>
  <c r="O59" i="1" s="1"/>
  <c r="G382" i="8" s="1"/>
  <c r="K59" i="1"/>
  <c r="L59" i="1" s="1"/>
  <c r="G301" i="8" s="1"/>
  <c r="H59" i="1"/>
  <c r="I59" i="1" s="1"/>
  <c r="G220" i="8" s="1"/>
  <c r="B59" i="1"/>
  <c r="C59" i="1" s="1"/>
  <c r="G58" i="8" s="1"/>
  <c r="N58" i="1"/>
  <c r="O58" i="1" s="1"/>
  <c r="G381" i="8" s="1"/>
  <c r="K58" i="1"/>
  <c r="L58" i="1" s="1"/>
  <c r="G300" i="8" s="1"/>
  <c r="H58" i="1"/>
  <c r="I58" i="1" s="1"/>
  <c r="G219" i="8" s="1"/>
  <c r="B58" i="1"/>
  <c r="C58" i="1" s="1"/>
  <c r="G57" i="8" s="1"/>
  <c r="N57" i="1"/>
  <c r="O57" i="1" s="1"/>
  <c r="G380" i="8" s="1"/>
  <c r="K57" i="1"/>
  <c r="L57" i="1" s="1"/>
  <c r="G299" i="8" s="1"/>
  <c r="H57" i="1"/>
  <c r="I57" i="1" s="1"/>
  <c r="G218" i="8" s="1"/>
  <c r="F57" i="1"/>
  <c r="G137" i="8" s="1"/>
  <c r="B57" i="1"/>
  <c r="C57" i="1" s="1"/>
  <c r="G56" i="8" s="1"/>
  <c r="N56" i="1"/>
  <c r="O56" i="1" s="1"/>
  <c r="G379" i="8" s="1"/>
  <c r="K56" i="1"/>
  <c r="L56" i="1" s="1"/>
  <c r="G298" i="8" s="1"/>
  <c r="H56" i="1"/>
  <c r="I56" i="1" s="1"/>
  <c r="G217" i="8" s="1"/>
  <c r="B56" i="1"/>
  <c r="C56" i="1" s="1"/>
  <c r="G55" i="8" s="1"/>
  <c r="N55" i="1"/>
  <c r="O55" i="1" s="1"/>
  <c r="G378" i="8" s="1"/>
  <c r="K55" i="1"/>
  <c r="L55" i="1" s="1"/>
  <c r="G297" i="8" s="1"/>
  <c r="H55" i="1"/>
  <c r="I55" i="1" s="1"/>
  <c r="G216" i="8" s="1"/>
  <c r="B55" i="1"/>
  <c r="C55" i="1" s="1"/>
  <c r="G54" i="8" s="1"/>
  <c r="N54" i="1"/>
  <c r="O54" i="1" s="1"/>
  <c r="G377" i="8" s="1"/>
  <c r="K54" i="1"/>
  <c r="L54" i="1" s="1"/>
  <c r="G296" i="8" s="1"/>
  <c r="H54" i="1"/>
  <c r="I54" i="1" s="1"/>
  <c r="G215" i="8" s="1"/>
  <c r="B54" i="1"/>
  <c r="C54" i="1" s="1"/>
  <c r="G53" i="8" s="1"/>
  <c r="N53" i="1"/>
  <c r="O53" i="1" s="1"/>
  <c r="G376" i="8" s="1"/>
  <c r="K53" i="1"/>
  <c r="L53" i="1" s="1"/>
  <c r="G295" i="8" s="1"/>
  <c r="H53" i="1"/>
  <c r="I53" i="1" s="1"/>
  <c r="G214" i="8" s="1"/>
  <c r="B53" i="1"/>
  <c r="C53" i="1" s="1"/>
  <c r="G52" i="8" s="1"/>
  <c r="N52" i="1"/>
  <c r="O52" i="1" s="1"/>
  <c r="G375" i="8" s="1"/>
  <c r="K52" i="1"/>
  <c r="L52" i="1" s="1"/>
  <c r="G294" i="8" s="1"/>
  <c r="H52" i="1"/>
  <c r="I52" i="1" s="1"/>
  <c r="G213" i="8" s="1"/>
  <c r="B52" i="1"/>
  <c r="C52" i="1" s="1"/>
  <c r="G51" i="8" s="1"/>
  <c r="N51" i="1"/>
  <c r="O51" i="1" s="1"/>
  <c r="G374" i="8" s="1"/>
  <c r="K51" i="1"/>
  <c r="L51" i="1" s="1"/>
  <c r="G293" i="8" s="1"/>
  <c r="H51" i="1"/>
  <c r="I51" i="1" s="1"/>
  <c r="G212" i="8" s="1"/>
  <c r="B51" i="1"/>
  <c r="C51" i="1" s="1"/>
  <c r="G50" i="8" s="1"/>
  <c r="N50" i="1"/>
  <c r="O50" i="1" s="1"/>
  <c r="G373" i="8" s="1"/>
  <c r="K50" i="1"/>
  <c r="L50" i="1" s="1"/>
  <c r="G292" i="8" s="1"/>
  <c r="H50" i="1"/>
  <c r="I50" i="1" s="1"/>
  <c r="G211" i="8" s="1"/>
  <c r="B50" i="1"/>
  <c r="C50" i="1" s="1"/>
  <c r="G49" i="8" s="1"/>
  <c r="F66" i="8" l="1"/>
  <c r="J66" i="8" s="1"/>
  <c r="F217" i="8"/>
  <c r="J217" i="8" s="1"/>
  <c r="F318" i="8"/>
  <c r="J318" i="8" s="1"/>
  <c r="F387" i="8"/>
  <c r="J387" i="8" s="1"/>
  <c r="F373" i="8"/>
  <c r="J373" i="8" s="1"/>
  <c r="F362" i="8"/>
  <c r="J362" i="8" s="1"/>
  <c r="F231" i="8"/>
  <c r="J231" i="8" s="1"/>
  <c r="F197" i="8"/>
  <c r="J197" i="8" s="1"/>
  <c r="F395" i="8"/>
  <c r="J395" i="8" s="1"/>
  <c r="F370" i="8"/>
  <c r="J370" i="8" s="1"/>
  <c r="F161" i="8"/>
  <c r="J161" i="8" s="1"/>
  <c r="F153" i="8"/>
  <c r="J153" i="8" s="1"/>
  <c r="F403" i="8"/>
  <c r="J403" i="8" s="1"/>
  <c r="F367" i="8"/>
  <c r="J367" i="8" s="1"/>
  <c r="F205" i="8"/>
  <c r="J205" i="8" s="1"/>
  <c r="F392" i="8"/>
  <c r="J392" i="8" s="1"/>
  <c r="F378" i="8"/>
  <c r="J378" i="8" s="1"/>
  <c r="F82" i="8"/>
  <c r="J82" i="8" s="1"/>
  <c r="F400" i="8"/>
  <c r="J400" i="8" s="1"/>
  <c r="F163" i="8"/>
  <c r="J163" i="8" s="1"/>
  <c r="F155" i="8"/>
  <c r="J155" i="8" s="1"/>
  <c r="F213" i="8"/>
  <c r="J213" i="8" s="1"/>
  <c r="F325" i="8"/>
  <c r="J325" i="8" s="1"/>
  <c r="F314" i="8"/>
  <c r="J314" i="8" s="1"/>
  <c r="F408" i="8"/>
  <c r="J408" i="8" s="1"/>
  <c r="F78" i="8"/>
  <c r="J78" i="8" s="1"/>
  <c r="F227" i="8"/>
  <c r="J227" i="8" s="1"/>
  <c r="F221" i="8"/>
  <c r="J221" i="8" s="1"/>
  <c r="F74" i="8"/>
  <c r="J74" i="8" s="1"/>
  <c r="F165" i="8"/>
  <c r="J165" i="8" s="1"/>
  <c r="F157" i="8"/>
  <c r="J157" i="8" s="1"/>
  <c r="F201" i="8"/>
  <c r="J201" i="8" s="1"/>
  <c r="F327" i="8"/>
  <c r="J327" i="8" s="1"/>
  <c r="F70" i="8"/>
  <c r="J70" i="8" s="1"/>
  <c r="F209" i="8"/>
  <c r="J209" i="8" s="1"/>
  <c r="F310" i="8"/>
  <c r="J310" i="8" s="1"/>
  <c r="F284" i="8"/>
  <c r="J284" i="8" s="1"/>
  <c r="F159" i="8"/>
  <c r="J159" i="8" s="1"/>
  <c r="F365" i="8"/>
  <c r="J365" i="8" s="1"/>
  <c r="F375" i="8"/>
  <c r="J375" i="8" s="1"/>
  <c r="F406" i="8"/>
  <c r="J406" i="8" s="1"/>
  <c r="F401" i="8"/>
  <c r="J401" i="8" s="1"/>
  <c r="F398" i="8"/>
  <c r="J398" i="8" s="1"/>
  <c r="F393" i="8"/>
  <c r="J393" i="8" s="1"/>
  <c r="F390" i="8"/>
  <c r="J390" i="8" s="1"/>
  <c r="F385" i="8"/>
  <c r="J385" i="8" s="1"/>
  <c r="F382" i="8"/>
  <c r="J382" i="8" s="1"/>
  <c r="F379" i="8"/>
  <c r="J379" i="8" s="1"/>
  <c r="F376" i="8"/>
  <c r="J376" i="8" s="1"/>
  <c r="F368" i="8"/>
  <c r="J368" i="8" s="1"/>
  <c r="F360" i="8"/>
  <c r="J360" i="8" s="1"/>
  <c r="F384" i="8"/>
  <c r="J384" i="8" s="1"/>
  <c r="F359" i="8"/>
  <c r="J359" i="8" s="1"/>
  <c r="F407" i="8"/>
  <c r="J407" i="8" s="1"/>
  <c r="F404" i="8"/>
  <c r="J404" i="8" s="1"/>
  <c r="F399" i="8"/>
  <c r="J399" i="8" s="1"/>
  <c r="F396" i="8"/>
  <c r="J396" i="8" s="1"/>
  <c r="F391" i="8"/>
  <c r="J391" i="8" s="1"/>
  <c r="F388" i="8"/>
  <c r="J388" i="8" s="1"/>
  <c r="F383" i="8"/>
  <c r="J383" i="8" s="1"/>
  <c r="F380" i="8"/>
  <c r="J380" i="8" s="1"/>
  <c r="F377" i="8"/>
  <c r="J377" i="8" s="1"/>
  <c r="F374" i="8"/>
  <c r="J374" i="8" s="1"/>
  <c r="F371" i="8"/>
  <c r="J371" i="8" s="1"/>
  <c r="F369" i="8"/>
  <c r="J369" i="8" s="1"/>
  <c r="F366" i="8"/>
  <c r="J366" i="8" s="1"/>
  <c r="F363" i="8"/>
  <c r="J363" i="8" s="1"/>
  <c r="F361" i="8"/>
  <c r="J361" i="8" s="1"/>
  <c r="F405" i="8"/>
  <c r="J405" i="8" s="1"/>
  <c r="F402" i="8"/>
  <c r="J402" i="8" s="1"/>
  <c r="F397" i="8"/>
  <c r="J397" i="8" s="1"/>
  <c r="F394" i="8"/>
  <c r="J394" i="8" s="1"/>
  <c r="F389" i="8"/>
  <c r="J389" i="8" s="1"/>
  <c r="F386" i="8"/>
  <c r="J386" i="8" s="1"/>
  <c r="F381" i="8"/>
  <c r="J381" i="8" s="1"/>
  <c r="F372" i="8"/>
  <c r="J372" i="8" s="1"/>
  <c r="F364" i="8"/>
  <c r="J364" i="8" s="1"/>
  <c r="F316" i="8"/>
  <c r="J316" i="8" s="1"/>
  <c r="F312" i="8"/>
  <c r="J312" i="8" s="1"/>
  <c r="F308" i="8"/>
  <c r="J308" i="8" s="1"/>
  <c r="F303" i="8"/>
  <c r="J303" i="8" s="1"/>
  <c r="F301" i="8"/>
  <c r="J301" i="8" s="1"/>
  <c r="F299" i="8"/>
  <c r="J299" i="8" s="1"/>
  <c r="F297" i="8"/>
  <c r="J297" i="8" s="1"/>
  <c r="F295" i="8"/>
  <c r="J295" i="8" s="1"/>
  <c r="F293" i="8"/>
  <c r="J293" i="8" s="1"/>
  <c r="F286" i="8"/>
  <c r="J286" i="8" s="1"/>
  <c r="F282" i="8"/>
  <c r="J282" i="8" s="1"/>
  <c r="F280" i="8"/>
  <c r="J280" i="8" s="1"/>
  <c r="F278" i="8"/>
  <c r="J278" i="8" s="1"/>
  <c r="F323" i="8"/>
  <c r="J323" i="8" s="1"/>
  <c r="F321" i="8"/>
  <c r="J321" i="8" s="1"/>
  <c r="F306" i="8"/>
  <c r="J306" i="8" s="1"/>
  <c r="F304" i="8"/>
  <c r="J304" i="8" s="1"/>
  <c r="F291" i="8"/>
  <c r="J291" i="8" s="1"/>
  <c r="F289" i="8"/>
  <c r="J289" i="8" s="1"/>
  <c r="F326" i="8"/>
  <c r="J326" i="8" s="1"/>
  <c r="F324" i="8"/>
  <c r="J324" i="8" s="1"/>
  <c r="F319" i="8"/>
  <c r="J319" i="8" s="1"/>
  <c r="F317" i="8"/>
  <c r="J317" i="8" s="1"/>
  <c r="F315" i="8"/>
  <c r="J315" i="8" s="1"/>
  <c r="F313" i="8"/>
  <c r="J313" i="8" s="1"/>
  <c r="F311" i="8"/>
  <c r="J311" i="8" s="1"/>
  <c r="F309" i="8"/>
  <c r="J309" i="8" s="1"/>
  <c r="F302" i="8"/>
  <c r="J302" i="8" s="1"/>
  <c r="F300" i="8"/>
  <c r="J300" i="8" s="1"/>
  <c r="F298" i="8"/>
  <c r="J298" i="8" s="1"/>
  <c r="F296" i="8"/>
  <c r="J296" i="8" s="1"/>
  <c r="F294" i="8"/>
  <c r="J294" i="8" s="1"/>
  <c r="F292" i="8"/>
  <c r="J292" i="8" s="1"/>
  <c r="F287" i="8"/>
  <c r="J287" i="8" s="1"/>
  <c r="F285" i="8"/>
  <c r="J285" i="8" s="1"/>
  <c r="F283" i="8"/>
  <c r="J283" i="8" s="1"/>
  <c r="F281" i="8"/>
  <c r="J281" i="8" s="1"/>
  <c r="F279" i="8"/>
  <c r="J279" i="8" s="1"/>
  <c r="F322" i="8"/>
  <c r="J322" i="8" s="1"/>
  <c r="F320" i="8"/>
  <c r="J320" i="8" s="1"/>
  <c r="F307" i="8"/>
  <c r="J307" i="8" s="1"/>
  <c r="F305" i="8"/>
  <c r="J305" i="8" s="1"/>
  <c r="F290" i="8"/>
  <c r="J290" i="8" s="1"/>
  <c r="F288" i="8"/>
  <c r="J288" i="8" s="1"/>
  <c r="F229" i="8"/>
  <c r="J229" i="8" s="1"/>
  <c r="F225" i="8"/>
  <c r="J225" i="8" s="1"/>
  <c r="F223" i="8"/>
  <c r="J223" i="8" s="1"/>
  <c r="F215" i="8"/>
  <c r="J215" i="8" s="1"/>
  <c r="F211" i="8"/>
  <c r="J211" i="8" s="1"/>
  <c r="F199" i="8"/>
  <c r="J199" i="8" s="1"/>
  <c r="F246" i="8"/>
  <c r="J246" i="8" s="1"/>
  <c r="F244" i="8"/>
  <c r="J244" i="8" s="1"/>
  <c r="F242" i="8"/>
  <c r="J242" i="8" s="1"/>
  <c r="F240" i="8"/>
  <c r="J240" i="8" s="1"/>
  <c r="F238" i="8"/>
  <c r="J238" i="8" s="1"/>
  <c r="F236" i="8"/>
  <c r="J236" i="8" s="1"/>
  <c r="F234" i="8"/>
  <c r="J234" i="8" s="1"/>
  <c r="F233" i="8"/>
  <c r="J233" i="8" s="1"/>
  <c r="F219" i="8"/>
  <c r="J219" i="8" s="1"/>
  <c r="F207" i="8"/>
  <c r="J207" i="8" s="1"/>
  <c r="F203" i="8"/>
  <c r="J203" i="8" s="1"/>
  <c r="F232" i="8"/>
  <c r="J232" i="8" s="1"/>
  <c r="F230" i="8"/>
  <c r="J230" i="8" s="1"/>
  <c r="F228" i="8"/>
  <c r="J228" i="8" s="1"/>
  <c r="F226" i="8"/>
  <c r="J226" i="8" s="1"/>
  <c r="F224" i="8"/>
  <c r="J224" i="8" s="1"/>
  <c r="F222" i="8"/>
  <c r="J222" i="8" s="1"/>
  <c r="F220" i="8"/>
  <c r="J220" i="8" s="1"/>
  <c r="F218" i="8"/>
  <c r="J218" i="8" s="1"/>
  <c r="F216" i="8"/>
  <c r="J216" i="8" s="1"/>
  <c r="F214" i="8"/>
  <c r="J214" i="8" s="1"/>
  <c r="F212" i="8"/>
  <c r="J212" i="8" s="1"/>
  <c r="F210" i="8"/>
  <c r="J210" i="8" s="1"/>
  <c r="F208" i="8"/>
  <c r="J208" i="8" s="1"/>
  <c r="F206" i="8"/>
  <c r="J206" i="8" s="1"/>
  <c r="F204" i="8"/>
  <c r="J204" i="8" s="1"/>
  <c r="F202" i="8"/>
  <c r="J202" i="8" s="1"/>
  <c r="F200" i="8"/>
  <c r="J200" i="8" s="1"/>
  <c r="F198" i="8"/>
  <c r="J198" i="8" s="1"/>
  <c r="F245" i="8"/>
  <c r="J245" i="8" s="1"/>
  <c r="F243" i="8"/>
  <c r="J243" i="8" s="1"/>
  <c r="F241" i="8"/>
  <c r="J241" i="8" s="1"/>
  <c r="F239" i="8"/>
  <c r="J239" i="8" s="1"/>
  <c r="F237" i="8"/>
  <c r="J237" i="8" s="1"/>
  <c r="F235" i="8"/>
  <c r="J235" i="8" s="1"/>
  <c r="F151" i="8"/>
  <c r="J151" i="8" s="1"/>
  <c r="F149" i="8"/>
  <c r="J149" i="8" s="1"/>
  <c r="F147" i="8"/>
  <c r="J147" i="8" s="1"/>
  <c r="F145" i="8"/>
  <c r="J145" i="8" s="1"/>
  <c r="F143" i="8"/>
  <c r="J143" i="8" s="1"/>
  <c r="F141" i="8"/>
  <c r="J141" i="8" s="1"/>
  <c r="F139" i="8"/>
  <c r="J139" i="8" s="1"/>
  <c r="F137" i="8"/>
  <c r="J137" i="8" s="1"/>
  <c r="F135" i="8"/>
  <c r="J135" i="8" s="1"/>
  <c r="F133" i="8"/>
  <c r="J133" i="8" s="1"/>
  <c r="F131" i="8"/>
  <c r="J131" i="8" s="1"/>
  <c r="F129" i="8"/>
  <c r="J129" i="8" s="1"/>
  <c r="F127" i="8"/>
  <c r="J127" i="8" s="1"/>
  <c r="F125" i="8"/>
  <c r="J125" i="8" s="1"/>
  <c r="F123" i="8"/>
  <c r="J123" i="8" s="1"/>
  <c r="F121" i="8"/>
  <c r="J121" i="8" s="1"/>
  <c r="F119" i="8"/>
  <c r="J119" i="8" s="1"/>
  <c r="F117" i="8"/>
  <c r="J117" i="8" s="1"/>
  <c r="F164" i="8"/>
  <c r="J164" i="8" s="1"/>
  <c r="F162" i="8"/>
  <c r="J162" i="8" s="1"/>
  <c r="F160" i="8"/>
  <c r="J160" i="8" s="1"/>
  <c r="F158" i="8"/>
  <c r="J158" i="8" s="1"/>
  <c r="F156" i="8"/>
  <c r="J156" i="8" s="1"/>
  <c r="F154" i="8"/>
  <c r="J154" i="8" s="1"/>
  <c r="F152" i="8"/>
  <c r="J152" i="8" s="1"/>
  <c r="F150" i="8"/>
  <c r="J150" i="8" s="1"/>
  <c r="F148" i="8"/>
  <c r="J148" i="8" s="1"/>
  <c r="F146" i="8"/>
  <c r="J146" i="8" s="1"/>
  <c r="F144" i="8"/>
  <c r="J144" i="8" s="1"/>
  <c r="F142" i="8"/>
  <c r="J142" i="8" s="1"/>
  <c r="F140" i="8"/>
  <c r="J140" i="8" s="1"/>
  <c r="F138" i="8"/>
  <c r="J138" i="8" s="1"/>
  <c r="F136" i="8"/>
  <c r="J136" i="8" s="1"/>
  <c r="F134" i="8"/>
  <c r="J134" i="8" s="1"/>
  <c r="F132" i="8"/>
  <c r="J132" i="8" s="1"/>
  <c r="F130" i="8"/>
  <c r="J130" i="8" s="1"/>
  <c r="F128" i="8"/>
  <c r="J128" i="8" s="1"/>
  <c r="F126" i="8"/>
  <c r="J126" i="8" s="1"/>
  <c r="F124" i="8"/>
  <c r="J124" i="8" s="1"/>
  <c r="F122" i="8"/>
  <c r="J122" i="8" s="1"/>
  <c r="F120" i="8"/>
  <c r="J120" i="8" s="1"/>
  <c r="F118" i="8"/>
  <c r="J118" i="8" s="1"/>
  <c r="F116" i="8"/>
  <c r="J116" i="8" s="1"/>
  <c r="F63" i="8"/>
  <c r="J63" i="8" s="1"/>
  <c r="F59" i="8"/>
  <c r="J59" i="8" s="1"/>
  <c r="F55" i="8"/>
  <c r="J55" i="8" s="1"/>
  <c r="F51" i="8"/>
  <c r="J51" i="8" s="1"/>
  <c r="F47" i="8"/>
  <c r="J47" i="8" s="1"/>
  <c r="F44" i="8"/>
  <c r="J44" i="8" s="1"/>
  <c r="F40" i="8"/>
  <c r="J40" i="8" s="1"/>
  <c r="F36" i="8"/>
  <c r="J36" i="8" s="1"/>
  <c r="F81" i="8"/>
  <c r="J81" i="8" s="1"/>
  <c r="F77" i="8"/>
  <c r="J77" i="8" s="1"/>
  <c r="F73" i="8"/>
  <c r="J73" i="8" s="1"/>
  <c r="F69" i="8"/>
  <c r="J69" i="8" s="1"/>
  <c r="F65" i="8"/>
  <c r="J65" i="8" s="1"/>
  <c r="F62" i="8"/>
  <c r="J62" i="8" s="1"/>
  <c r="F58" i="8"/>
  <c r="J58" i="8" s="1"/>
  <c r="F54" i="8"/>
  <c r="J54" i="8" s="1"/>
  <c r="F50" i="8"/>
  <c r="J50" i="8" s="1"/>
  <c r="F46" i="8"/>
  <c r="J46" i="8" s="1"/>
  <c r="F43" i="8"/>
  <c r="J43" i="8" s="1"/>
  <c r="F39" i="8"/>
  <c r="J39" i="8" s="1"/>
  <c r="F35" i="8"/>
  <c r="J35" i="8" s="1"/>
  <c r="F84" i="8"/>
  <c r="J84" i="8" s="1"/>
  <c r="F80" i="8"/>
  <c r="J80" i="8" s="1"/>
  <c r="F76" i="8"/>
  <c r="J76" i="8" s="1"/>
  <c r="F72" i="8"/>
  <c r="J72" i="8" s="1"/>
  <c r="F68" i="8"/>
  <c r="J68" i="8" s="1"/>
  <c r="F64" i="8"/>
  <c r="J64" i="8" s="1"/>
  <c r="F61" i="8"/>
  <c r="J61" i="8" s="1"/>
  <c r="F57" i="8"/>
  <c r="J57" i="8" s="1"/>
  <c r="F53" i="8"/>
  <c r="J53" i="8" s="1"/>
  <c r="F49" i="8"/>
  <c r="J49" i="8" s="1"/>
  <c r="F45" i="8"/>
  <c r="J45" i="8" s="1"/>
  <c r="F42" i="8"/>
  <c r="J42" i="8" s="1"/>
  <c r="F38" i="8"/>
  <c r="J38" i="8" s="1"/>
  <c r="F83" i="8"/>
  <c r="J83" i="8" s="1"/>
  <c r="F79" i="8"/>
  <c r="J79" i="8" s="1"/>
  <c r="F75" i="8"/>
  <c r="J75" i="8" s="1"/>
  <c r="F71" i="8"/>
  <c r="J71" i="8" s="1"/>
  <c r="F67" i="8"/>
  <c r="J67" i="8" s="1"/>
  <c r="F60" i="8"/>
  <c r="J60" i="8" s="1"/>
  <c r="F56" i="8"/>
  <c r="J56" i="8" s="1"/>
  <c r="F52" i="8"/>
  <c r="J52" i="8" s="1"/>
  <c r="F48" i="8"/>
  <c r="J48" i="8" s="1"/>
  <c r="F41" i="8"/>
  <c r="J41" i="8" s="1"/>
  <c r="F37" i="8"/>
  <c r="J37" i="8" s="1"/>
  <c r="K4" i="8"/>
  <c r="K3" i="8"/>
  <c r="K2" i="8"/>
  <c r="D87" i="1" l="1"/>
  <c r="G87" i="1"/>
  <c r="F4" i="8" l="1"/>
  <c r="J4" i="8" s="1"/>
  <c r="F3" i="8"/>
  <c r="J3" i="8" s="1"/>
  <c r="F2" i="8"/>
  <c r="J2" i="8" s="1"/>
  <c r="O5" i="1" l="1"/>
  <c r="L5" i="1"/>
  <c r="I5" i="1"/>
  <c r="F5" i="1"/>
  <c r="C5" i="1"/>
  <c r="K383" i="8" l="1"/>
  <c r="K381" i="8"/>
  <c r="K379" i="8"/>
  <c r="K377" i="8"/>
  <c r="K375" i="8"/>
  <c r="K373" i="8"/>
  <c r="K371" i="8"/>
  <c r="K369" i="8"/>
  <c r="K367" i="8"/>
  <c r="K365" i="8"/>
  <c r="K363" i="8"/>
  <c r="K361" i="8"/>
  <c r="K359" i="8"/>
  <c r="K407" i="8"/>
  <c r="K405" i="8"/>
  <c r="K403" i="8"/>
  <c r="K401" i="8"/>
  <c r="K399" i="8"/>
  <c r="K397" i="8"/>
  <c r="K395" i="8"/>
  <c r="K393" i="8"/>
  <c r="K391" i="8"/>
  <c r="K389" i="8"/>
  <c r="K387" i="8"/>
  <c r="K385" i="8"/>
  <c r="K382" i="8"/>
  <c r="K378" i="8"/>
  <c r="K376" i="8"/>
  <c r="K372" i="8"/>
  <c r="K368" i="8"/>
  <c r="K364" i="8"/>
  <c r="K360" i="8"/>
  <c r="K406" i="8"/>
  <c r="K402" i="8"/>
  <c r="K398" i="8"/>
  <c r="K394" i="8"/>
  <c r="K390" i="8"/>
  <c r="K386" i="8"/>
  <c r="K380" i="8"/>
  <c r="K374" i="8"/>
  <c r="K370" i="8"/>
  <c r="K366" i="8"/>
  <c r="K362" i="8"/>
  <c r="K408" i="8"/>
  <c r="K404" i="8"/>
  <c r="K400" i="8"/>
  <c r="K396" i="8"/>
  <c r="K392" i="8"/>
  <c r="K388" i="8"/>
  <c r="K384" i="8"/>
  <c r="K302" i="8"/>
  <c r="K300" i="8"/>
  <c r="K298" i="8"/>
  <c r="K296" i="8"/>
  <c r="K294" i="8"/>
  <c r="K292" i="8"/>
  <c r="K290" i="8"/>
  <c r="K288" i="8"/>
  <c r="K286" i="8"/>
  <c r="K284" i="8"/>
  <c r="K282" i="8"/>
  <c r="K280" i="8"/>
  <c r="K278" i="8"/>
  <c r="K326" i="8"/>
  <c r="K324" i="8"/>
  <c r="K322" i="8"/>
  <c r="K320" i="8"/>
  <c r="K318" i="8"/>
  <c r="K316" i="8"/>
  <c r="K314" i="8"/>
  <c r="K312" i="8"/>
  <c r="K310" i="8"/>
  <c r="K308" i="8"/>
  <c r="K306" i="8"/>
  <c r="K304" i="8"/>
  <c r="K301" i="8"/>
  <c r="K299" i="8"/>
  <c r="K297" i="8"/>
  <c r="K295" i="8"/>
  <c r="K293" i="8"/>
  <c r="K291" i="8"/>
  <c r="K289" i="8"/>
  <c r="K287" i="8"/>
  <c r="K285" i="8"/>
  <c r="K283" i="8"/>
  <c r="K281" i="8"/>
  <c r="K279" i="8"/>
  <c r="K327" i="8"/>
  <c r="K325" i="8"/>
  <c r="K323" i="8"/>
  <c r="K321" i="8"/>
  <c r="K319" i="8"/>
  <c r="K317" i="8"/>
  <c r="K315" i="8"/>
  <c r="K313" i="8"/>
  <c r="K311" i="8"/>
  <c r="K309" i="8"/>
  <c r="K307" i="8"/>
  <c r="K305" i="8"/>
  <c r="K303" i="8"/>
  <c r="K220" i="8"/>
  <c r="K218" i="8"/>
  <c r="K216" i="8"/>
  <c r="K214" i="8"/>
  <c r="K212" i="8"/>
  <c r="K210" i="8"/>
  <c r="K208" i="8"/>
  <c r="K206" i="8"/>
  <c r="K204" i="8"/>
  <c r="K202" i="8"/>
  <c r="K200" i="8"/>
  <c r="K198" i="8"/>
  <c r="K246" i="8"/>
  <c r="K244" i="8"/>
  <c r="K242" i="8"/>
  <c r="K240" i="8"/>
  <c r="K238" i="8"/>
  <c r="K236" i="8"/>
  <c r="K234" i="8"/>
  <c r="K232" i="8"/>
  <c r="K230" i="8"/>
  <c r="K228" i="8"/>
  <c r="K226" i="8"/>
  <c r="K224" i="8"/>
  <c r="K222" i="8"/>
  <c r="K221" i="8"/>
  <c r="K217" i="8"/>
  <c r="K213" i="8"/>
  <c r="K209" i="8"/>
  <c r="K205" i="8"/>
  <c r="K201" i="8"/>
  <c r="K197" i="8"/>
  <c r="K243" i="8"/>
  <c r="K239" i="8"/>
  <c r="K235" i="8"/>
  <c r="K231" i="8"/>
  <c r="K227" i="8"/>
  <c r="K223" i="8"/>
  <c r="K219" i="8"/>
  <c r="K215" i="8"/>
  <c r="K211" i="8"/>
  <c r="K207" i="8"/>
  <c r="K203" i="8"/>
  <c r="K199" i="8"/>
  <c r="K245" i="8"/>
  <c r="K241" i="8"/>
  <c r="K237" i="8"/>
  <c r="K233" i="8"/>
  <c r="K229" i="8"/>
  <c r="K225" i="8"/>
  <c r="K125" i="8"/>
  <c r="K123" i="8"/>
  <c r="K121" i="8"/>
  <c r="K119" i="8"/>
  <c r="K117" i="8"/>
  <c r="K135" i="8"/>
  <c r="K133" i="8"/>
  <c r="K131" i="8"/>
  <c r="K129" i="8"/>
  <c r="K127" i="8"/>
  <c r="K145" i="8"/>
  <c r="K143" i="8"/>
  <c r="K141" i="8"/>
  <c r="K139" i="8"/>
  <c r="K137" i="8"/>
  <c r="K155" i="8"/>
  <c r="K153" i="8"/>
  <c r="K151" i="8"/>
  <c r="K149" i="8"/>
  <c r="K147" i="8"/>
  <c r="K165" i="8"/>
  <c r="K163" i="8"/>
  <c r="K161" i="8"/>
  <c r="K159" i="8"/>
  <c r="K157" i="8"/>
  <c r="K124" i="8"/>
  <c r="K122" i="8"/>
  <c r="K120" i="8"/>
  <c r="K118" i="8"/>
  <c r="K116" i="8"/>
  <c r="K134" i="8"/>
  <c r="K132" i="8"/>
  <c r="K130" i="8"/>
  <c r="K128" i="8"/>
  <c r="K126" i="8"/>
  <c r="K144" i="8"/>
  <c r="K142" i="8"/>
  <c r="K140" i="8"/>
  <c r="K138" i="8"/>
  <c r="K136" i="8"/>
  <c r="K154" i="8"/>
  <c r="K152" i="8"/>
  <c r="K150" i="8"/>
  <c r="K148" i="8"/>
  <c r="K146" i="8"/>
  <c r="K164" i="8"/>
  <c r="K162" i="8"/>
  <c r="K160" i="8"/>
  <c r="K158" i="8"/>
  <c r="K156" i="8"/>
  <c r="C87" i="1"/>
  <c r="K84" i="8"/>
  <c r="K80" i="8"/>
  <c r="K76" i="8"/>
  <c r="K72" i="8"/>
  <c r="K68" i="8"/>
  <c r="K64" i="8"/>
  <c r="K60" i="8"/>
  <c r="K56" i="8"/>
  <c r="K52" i="8"/>
  <c r="K48" i="8"/>
  <c r="K44" i="8"/>
  <c r="K40" i="8"/>
  <c r="K36" i="8"/>
  <c r="K85" i="8"/>
  <c r="K81" i="8"/>
  <c r="K77" i="8"/>
  <c r="K73" i="8"/>
  <c r="K69" i="8"/>
  <c r="K65" i="8"/>
  <c r="K61" i="8"/>
  <c r="K57" i="8"/>
  <c r="K53" i="8"/>
  <c r="K49" i="8"/>
  <c r="K45" i="8"/>
  <c r="K41" i="8"/>
  <c r="K37" i="8"/>
  <c r="K82" i="8"/>
  <c r="K78" i="8"/>
  <c r="K74" i="8"/>
  <c r="K70" i="8"/>
  <c r="K66" i="8"/>
  <c r="K62" i="8"/>
  <c r="K58" i="8"/>
  <c r="K54" i="8"/>
  <c r="K50" i="8"/>
  <c r="K46" i="8"/>
  <c r="K42" i="8"/>
  <c r="K38" i="8"/>
  <c r="K83" i="8"/>
  <c r="K79" i="8"/>
  <c r="K75" i="8"/>
  <c r="K71" i="8"/>
  <c r="K67" i="8"/>
  <c r="K63" i="8"/>
  <c r="K59" i="8"/>
  <c r="K55" i="8"/>
  <c r="K51" i="8"/>
  <c r="K47" i="8"/>
  <c r="K43" i="8"/>
  <c r="K39" i="8"/>
  <c r="K113" i="8"/>
  <c r="K109" i="8"/>
  <c r="K105" i="8"/>
  <c r="K101" i="8"/>
  <c r="K97" i="8"/>
  <c r="K93" i="8"/>
  <c r="K89" i="8"/>
  <c r="K114" i="8"/>
  <c r="K102" i="8"/>
  <c r="K90" i="8"/>
  <c r="K166" i="8"/>
  <c r="K112" i="8"/>
  <c r="K108" i="8"/>
  <c r="K104" i="8"/>
  <c r="K100" i="8"/>
  <c r="K96" i="8"/>
  <c r="K92" i="8"/>
  <c r="K88" i="8"/>
  <c r="K110" i="8"/>
  <c r="K98" i="8"/>
  <c r="K86" i="8"/>
  <c r="K115" i="8"/>
  <c r="K111" i="8"/>
  <c r="K107" i="8"/>
  <c r="K103" i="8"/>
  <c r="K99" i="8"/>
  <c r="K95" i="8"/>
  <c r="K91" i="8"/>
  <c r="K87" i="8"/>
  <c r="K106" i="8"/>
  <c r="K94" i="8"/>
  <c r="K33" i="8"/>
  <c r="K29" i="8"/>
  <c r="K25" i="8"/>
  <c r="K21" i="8"/>
  <c r="K17" i="8"/>
  <c r="K13" i="8"/>
  <c r="K9" i="8"/>
  <c r="K5" i="8"/>
  <c r="K22" i="8"/>
  <c r="K10" i="8"/>
  <c r="K32" i="8"/>
  <c r="K28" i="8"/>
  <c r="K24" i="8"/>
  <c r="K20" i="8"/>
  <c r="K16" i="8"/>
  <c r="K12" i="8"/>
  <c r="K8" i="8"/>
  <c r="K34" i="8"/>
  <c r="K26" i="8"/>
  <c r="K18" i="8"/>
  <c r="K35" i="8"/>
  <c r="K31" i="8"/>
  <c r="K27" i="8"/>
  <c r="K23" i="8"/>
  <c r="K19" i="8"/>
  <c r="K15" i="8"/>
  <c r="K11" i="8"/>
  <c r="K7" i="8"/>
  <c r="K30" i="8"/>
  <c r="K14" i="8"/>
  <c r="K6" i="8"/>
  <c r="K195" i="8"/>
  <c r="K191" i="8"/>
  <c r="K187" i="8"/>
  <c r="K183" i="8"/>
  <c r="K179" i="8"/>
  <c r="K175" i="8"/>
  <c r="K171" i="8"/>
  <c r="K167" i="8"/>
  <c r="K188" i="8"/>
  <c r="K176" i="8"/>
  <c r="K194" i="8"/>
  <c r="K190" i="8"/>
  <c r="K186" i="8"/>
  <c r="K182" i="8"/>
  <c r="K178" i="8"/>
  <c r="K174" i="8"/>
  <c r="K170" i="8"/>
  <c r="K192" i="8"/>
  <c r="K184" i="8"/>
  <c r="K172" i="8"/>
  <c r="K247" i="8"/>
  <c r="K193" i="8"/>
  <c r="K189" i="8"/>
  <c r="K185" i="8"/>
  <c r="K181" i="8"/>
  <c r="K177" i="8"/>
  <c r="K173" i="8"/>
  <c r="K169" i="8"/>
  <c r="K196" i="8"/>
  <c r="K180" i="8"/>
  <c r="K168" i="8"/>
  <c r="K277" i="8"/>
  <c r="K273" i="8"/>
  <c r="K269" i="8"/>
  <c r="K265" i="8"/>
  <c r="K261" i="8"/>
  <c r="K257" i="8"/>
  <c r="K253" i="8"/>
  <c r="K249" i="8"/>
  <c r="K328" i="8"/>
  <c r="K270" i="8"/>
  <c r="K262" i="8"/>
  <c r="K254" i="8"/>
  <c r="K276" i="8"/>
  <c r="K272" i="8"/>
  <c r="K268" i="8"/>
  <c r="K264" i="8"/>
  <c r="K260" i="8"/>
  <c r="K256" i="8"/>
  <c r="K252" i="8"/>
  <c r="K248" i="8"/>
  <c r="K274" i="8"/>
  <c r="K258" i="8"/>
  <c r="K250" i="8"/>
  <c r="K275" i="8"/>
  <c r="K271" i="8"/>
  <c r="K267" i="8"/>
  <c r="K263" i="8"/>
  <c r="K259" i="8"/>
  <c r="K255" i="8"/>
  <c r="K251" i="8"/>
  <c r="K266" i="8"/>
  <c r="K409" i="8"/>
  <c r="K355" i="8"/>
  <c r="K351" i="8"/>
  <c r="K347" i="8"/>
  <c r="K343" i="8"/>
  <c r="K339" i="8"/>
  <c r="K335" i="8"/>
  <c r="K331" i="8"/>
  <c r="K348" i="8"/>
  <c r="K344" i="8"/>
  <c r="K336" i="8"/>
  <c r="K358" i="8"/>
  <c r="K354" i="8"/>
  <c r="K350" i="8"/>
  <c r="K346" i="8"/>
  <c r="K342" i="8"/>
  <c r="K338" i="8"/>
  <c r="K334" i="8"/>
  <c r="K330" i="8"/>
  <c r="K352" i="8"/>
  <c r="K340" i="8"/>
  <c r="K332" i="8"/>
  <c r="K357" i="8"/>
  <c r="K353" i="8"/>
  <c r="K349" i="8"/>
  <c r="K345" i="8"/>
  <c r="K341" i="8"/>
  <c r="K337" i="8"/>
  <c r="K333" i="8"/>
  <c r="K329" i="8"/>
  <c r="K356" i="8"/>
  <c r="N86" i="1"/>
  <c r="K86" i="1"/>
  <c r="H86" i="1"/>
  <c r="B86" i="1"/>
  <c r="C86" i="1" s="1"/>
  <c r="N35" i="1"/>
  <c r="K35" i="1"/>
  <c r="H35" i="1"/>
  <c r="B35" i="1"/>
  <c r="C35" i="1" s="1"/>
  <c r="N34" i="1"/>
  <c r="K34" i="1"/>
  <c r="H34" i="1"/>
  <c r="B34" i="1"/>
  <c r="C34" i="1" s="1"/>
  <c r="N33" i="1"/>
  <c r="O33" i="1" s="1"/>
  <c r="K33" i="1"/>
  <c r="H33" i="1"/>
  <c r="I33" i="1" s="1"/>
  <c r="B33" i="1"/>
  <c r="C33" i="1" s="1"/>
  <c r="N32" i="1"/>
  <c r="O32" i="1" s="1"/>
  <c r="K32" i="1"/>
  <c r="H32" i="1"/>
  <c r="I32" i="1" s="1"/>
  <c r="F32" i="1"/>
  <c r="B32" i="1"/>
  <c r="C32" i="1" s="1"/>
  <c r="N31" i="1"/>
  <c r="O31" i="1" s="1"/>
  <c r="K31" i="1"/>
  <c r="H31" i="1"/>
  <c r="I31" i="1" s="1"/>
  <c r="F31" i="1"/>
  <c r="B31" i="1"/>
  <c r="C31" i="1" s="1"/>
  <c r="N30" i="1"/>
  <c r="O30" i="1" s="1"/>
  <c r="K30" i="1"/>
  <c r="L30" i="1" s="1"/>
  <c r="H30" i="1"/>
  <c r="I30" i="1" s="1"/>
  <c r="F30" i="1"/>
  <c r="B30" i="1"/>
  <c r="C30" i="1" s="1"/>
  <c r="N29" i="1"/>
  <c r="O29" i="1" s="1"/>
  <c r="K29" i="1"/>
  <c r="L29" i="1" s="1"/>
  <c r="H29" i="1"/>
  <c r="I29" i="1" s="1"/>
  <c r="F29" i="1"/>
  <c r="B29" i="1"/>
  <c r="C29" i="1" s="1"/>
  <c r="N28" i="1"/>
  <c r="O28" i="1" s="1"/>
  <c r="K28" i="1"/>
  <c r="L28" i="1" s="1"/>
  <c r="H28" i="1"/>
  <c r="I28" i="1" s="1"/>
  <c r="F28" i="1"/>
  <c r="B28" i="1"/>
  <c r="C28" i="1" s="1"/>
  <c r="N27" i="1"/>
  <c r="O27" i="1" s="1"/>
  <c r="K27" i="1"/>
  <c r="L27" i="1" s="1"/>
  <c r="H27" i="1"/>
  <c r="I27" i="1" s="1"/>
  <c r="F27" i="1"/>
  <c r="B27" i="1"/>
  <c r="C27" i="1" s="1"/>
  <c r="N26" i="1"/>
  <c r="O26" i="1" s="1"/>
  <c r="K26" i="1"/>
  <c r="L26" i="1" s="1"/>
  <c r="H26" i="1"/>
  <c r="I26" i="1" s="1"/>
  <c r="F26" i="1"/>
  <c r="B26" i="1"/>
  <c r="C26" i="1" s="1"/>
  <c r="N25" i="1"/>
  <c r="O25" i="1" s="1"/>
  <c r="K25" i="1"/>
  <c r="L25" i="1" s="1"/>
  <c r="H25" i="1"/>
  <c r="I25" i="1" s="1"/>
  <c r="F25" i="1"/>
  <c r="B25" i="1"/>
  <c r="C25" i="1" s="1"/>
  <c r="N24" i="1"/>
  <c r="O24" i="1" s="1"/>
  <c r="K24" i="1"/>
  <c r="L24" i="1" s="1"/>
  <c r="H24" i="1"/>
  <c r="I24" i="1" s="1"/>
  <c r="F24" i="1"/>
  <c r="B24" i="1"/>
  <c r="C24" i="1" s="1"/>
  <c r="N23" i="1"/>
  <c r="O23" i="1" s="1"/>
  <c r="K23" i="1"/>
  <c r="L23" i="1" s="1"/>
  <c r="H23" i="1"/>
  <c r="I23" i="1" s="1"/>
  <c r="F23" i="1"/>
  <c r="B23" i="1"/>
  <c r="C23" i="1" s="1"/>
  <c r="N22" i="1"/>
  <c r="O22" i="1" s="1"/>
  <c r="K22" i="1"/>
  <c r="L22" i="1" s="1"/>
  <c r="H22" i="1"/>
  <c r="I22" i="1" s="1"/>
  <c r="F22" i="1"/>
  <c r="B22" i="1"/>
  <c r="C22" i="1" s="1"/>
  <c r="N21" i="1"/>
  <c r="O21" i="1" s="1"/>
  <c r="K21" i="1"/>
  <c r="L21" i="1" s="1"/>
  <c r="H21" i="1"/>
  <c r="I21" i="1" s="1"/>
  <c r="F21" i="1"/>
  <c r="B21" i="1"/>
  <c r="C21" i="1" s="1"/>
  <c r="N20" i="1"/>
  <c r="O20" i="1" s="1"/>
  <c r="K20" i="1"/>
  <c r="L20" i="1" s="1"/>
  <c r="H20" i="1"/>
  <c r="I20" i="1" s="1"/>
  <c r="F20" i="1"/>
  <c r="B20" i="1"/>
  <c r="C20" i="1" s="1"/>
  <c r="N19" i="1"/>
  <c r="O19" i="1" s="1"/>
  <c r="K19" i="1"/>
  <c r="L19" i="1" s="1"/>
  <c r="H19" i="1"/>
  <c r="I19" i="1" s="1"/>
  <c r="F19" i="1"/>
  <c r="B19" i="1"/>
  <c r="C19" i="1" s="1"/>
  <c r="N18" i="1"/>
  <c r="O18" i="1" s="1"/>
  <c r="K18" i="1"/>
  <c r="L18" i="1" s="1"/>
  <c r="H18" i="1"/>
  <c r="I18" i="1" s="1"/>
  <c r="F18" i="1"/>
  <c r="B18" i="1"/>
  <c r="C18" i="1" s="1"/>
  <c r="N17" i="1"/>
  <c r="O17" i="1" s="1"/>
  <c r="K17" i="1"/>
  <c r="L17" i="1" s="1"/>
  <c r="H17" i="1"/>
  <c r="I17" i="1" s="1"/>
  <c r="F17" i="1"/>
  <c r="B17" i="1"/>
  <c r="C17" i="1" s="1"/>
  <c r="N16" i="1"/>
  <c r="O16" i="1" s="1"/>
  <c r="K16" i="1"/>
  <c r="L16" i="1" s="1"/>
  <c r="H16" i="1"/>
  <c r="I16" i="1" s="1"/>
  <c r="F16" i="1"/>
  <c r="B16" i="1"/>
  <c r="C16" i="1" s="1"/>
  <c r="N15" i="1"/>
  <c r="O15" i="1" s="1"/>
  <c r="K15" i="1"/>
  <c r="L15" i="1" s="1"/>
  <c r="H15" i="1"/>
  <c r="I15" i="1" s="1"/>
  <c r="F15" i="1"/>
  <c r="B15" i="1"/>
  <c r="C15" i="1" s="1"/>
  <c r="N14" i="1"/>
  <c r="O14" i="1" s="1"/>
  <c r="K14" i="1"/>
  <c r="L14" i="1" s="1"/>
  <c r="H14" i="1"/>
  <c r="I14" i="1" s="1"/>
  <c r="F14" i="1"/>
  <c r="B14" i="1"/>
  <c r="C14" i="1" s="1"/>
  <c r="N13" i="1"/>
  <c r="O13" i="1" s="1"/>
  <c r="K13" i="1"/>
  <c r="L13" i="1" s="1"/>
  <c r="H13" i="1"/>
  <c r="I13" i="1" s="1"/>
  <c r="F13" i="1"/>
  <c r="B13" i="1"/>
  <c r="C13" i="1" s="1"/>
  <c r="N12" i="1"/>
  <c r="O12" i="1" s="1"/>
  <c r="K12" i="1"/>
  <c r="L12" i="1" s="1"/>
  <c r="H12" i="1"/>
  <c r="I12" i="1" s="1"/>
  <c r="F12" i="1"/>
  <c r="B12" i="1"/>
  <c r="C12" i="1" s="1"/>
  <c r="N11" i="1"/>
  <c r="O11" i="1" s="1"/>
  <c r="K11" i="1"/>
  <c r="L11" i="1" s="1"/>
  <c r="H11" i="1"/>
  <c r="I11" i="1" s="1"/>
  <c r="F11" i="1"/>
  <c r="B11" i="1"/>
  <c r="C11" i="1" s="1"/>
  <c r="N10" i="1"/>
  <c r="O10" i="1" s="1"/>
  <c r="K10" i="1"/>
  <c r="L10" i="1" s="1"/>
  <c r="H10" i="1"/>
  <c r="I10" i="1" s="1"/>
  <c r="F10" i="1"/>
  <c r="B10" i="1"/>
  <c r="C10" i="1" s="1"/>
  <c r="N9" i="1"/>
  <c r="O9" i="1" s="1"/>
  <c r="K9" i="1"/>
  <c r="L9" i="1" s="1"/>
  <c r="H9" i="1"/>
  <c r="I9" i="1" s="1"/>
  <c r="F9" i="1"/>
  <c r="B9" i="1"/>
  <c r="C9" i="1" s="1"/>
  <c r="N8" i="1"/>
  <c r="O8" i="1" s="1"/>
  <c r="K8" i="1"/>
  <c r="L8" i="1" s="1"/>
  <c r="H8" i="1"/>
  <c r="I8" i="1" s="1"/>
  <c r="F8" i="1"/>
  <c r="B8" i="1"/>
  <c r="C8" i="1" s="1"/>
  <c r="N7" i="1"/>
  <c r="O7" i="1" s="1"/>
  <c r="K7" i="1"/>
  <c r="L7" i="1" s="1"/>
  <c r="H7" i="1"/>
  <c r="I7" i="1" s="1"/>
  <c r="F7" i="1"/>
  <c r="B7" i="1"/>
  <c r="C7" i="1" s="1"/>
  <c r="N6" i="1"/>
  <c r="O6" i="1" s="1"/>
  <c r="K6" i="1"/>
  <c r="L6" i="1" s="1"/>
  <c r="H6" i="1"/>
  <c r="I6" i="1" s="1"/>
  <c r="F6" i="1"/>
  <c r="B6" i="1"/>
  <c r="C6" i="1" s="1"/>
  <c r="O35" i="1" l="1"/>
  <c r="G358" i="8" s="1"/>
  <c r="F358" i="8"/>
  <c r="J358" i="8" s="1"/>
  <c r="O86" i="1"/>
  <c r="G409" i="8" s="1"/>
  <c r="F409" i="8"/>
  <c r="J409" i="8" s="1"/>
  <c r="O34" i="1"/>
  <c r="G357" i="8" s="1"/>
  <c r="F357" i="8"/>
  <c r="J357" i="8" s="1"/>
  <c r="L34" i="1"/>
  <c r="G276" i="8" s="1"/>
  <c r="F276" i="8"/>
  <c r="J276" i="8" s="1"/>
  <c r="L31" i="1"/>
  <c r="G273" i="8" s="1"/>
  <c r="F273" i="8"/>
  <c r="J273" i="8" s="1"/>
  <c r="L35" i="1"/>
  <c r="G277" i="8" s="1"/>
  <c r="F277" i="8"/>
  <c r="J277" i="8" s="1"/>
  <c r="L32" i="1"/>
  <c r="G274" i="8" s="1"/>
  <c r="F274" i="8"/>
  <c r="J274" i="8" s="1"/>
  <c r="L86" i="1"/>
  <c r="G328" i="8" s="1"/>
  <c r="F328" i="8"/>
  <c r="J328" i="8" s="1"/>
  <c r="L33" i="1"/>
  <c r="G275" i="8" s="1"/>
  <c r="F275" i="8"/>
  <c r="J275" i="8" s="1"/>
  <c r="I34" i="1"/>
  <c r="G195" i="8" s="1"/>
  <c r="F195" i="8"/>
  <c r="J195" i="8" s="1"/>
  <c r="I35" i="1"/>
  <c r="G196" i="8" s="1"/>
  <c r="F196" i="8"/>
  <c r="J196" i="8" s="1"/>
  <c r="I86" i="1"/>
  <c r="G247" i="8" s="1"/>
  <c r="F247" i="8"/>
  <c r="J247" i="8" s="1"/>
  <c r="F33" i="1"/>
  <c r="G113" i="8" s="1"/>
  <c r="F113" i="8"/>
  <c r="J113" i="8" s="1"/>
  <c r="F86" i="1"/>
  <c r="G166" i="8" s="1"/>
  <c r="F166" i="8"/>
  <c r="J166" i="8" s="1"/>
  <c r="F34" i="1"/>
  <c r="G114" i="8" s="1"/>
  <c r="F114" i="8"/>
  <c r="J114" i="8" s="1"/>
  <c r="F35" i="1"/>
  <c r="G115" i="8" s="1"/>
  <c r="F115" i="8"/>
  <c r="J115" i="8" s="1"/>
  <c r="G85" i="8"/>
  <c r="F85" i="8"/>
  <c r="J85" i="8" s="1"/>
  <c r="G2" i="8"/>
  <c r="P87" i="1" l="1"/>
  <c r="M87" i="1"/>
  <c r="J87" i="1"/>
  <c r="H330" i="8" l="1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29" i="8"/>
  <c r="A409" i="8"/>
  <c r="A358" i="8"/>
  <c r="A357" i="8"/>
  <c r="E356" i="8"/>
  <c r="D356" i="8"/>
  <c r="C356" i="8"/>
  <c r="A356" i="8"/>
  <c r="E355" i="8"/>
  <c r="D355" i="8"/>
  <c r="C355" i="8"/>
  <c r="A355" i="8"/>
  <c r="E354" i="8"/>
  <c r="D354" i="8"/>
  <c r="C354" i="8"/>
  <c r="A354" i="8"/>
  <c r="E353" i="8"/>
  <c r="D353" i="8"/>
  <c r="C353" i="8"/>
  <c r="A353" i="8"/>
  <c r="E352" i="8"/>
  <c r="D352" i="8"/>
  <c r="C352" i="8"/>
  <c r="A352" i="8"/>
  <c r="E351" i="8"/>
  <c r="D351" i="8"/>
  <c r="C351" i="8"/>
  <c r="A351" i="8"/>
  <c r="E350" i="8"/>
  <c r="D350" i="8"/>
  <c r="C350" i="8"/>
  <c r="A350" i="8"/>
  <c r="E349" i="8"/>
  <c r="D349" i="8"/>
  <c r="C349" i="8"/>
  <c r="A349" i="8"/>
  <c r="E348" i="8"/>
  <c r="D348" i="8"/>
  <c r="C348" i="8"/>
  <c r="A348" i="8"/>
  <c r="E347" i="8"/>
  <c r="D347" i="8"/>
  <c r="C347" i="8"/>
  <c r="A347" i="8"/>
  <c r="E346" i="8"/>
  <c r="D346" i="8"/>
  <c r="C346" i="8"/>
  <c r="A346" i="8"/>
  <c r="E345" i="8"/>
  <c r="D345" i="8"/>
  <c r="C345" i="8"/>
  <c r="A345" i="8"/>
  <c r="E344" i="8"/>
  <c r="D344" i="8"/>
  <c r="C344" i="8"/>
  <c r="A344" i="8"/>
  <c r="E343" i="8"/>
  <c r="D343" i="8"/>
  <c r="C343" i="8"/>
  <c r="A343" i="8"/>
  <c r="E342" i="8"/>
  <c r="D342" i="8"/>
  <c r="C342" i="8"/>
  <c r="A342" i="8"/>
  <c r="E341" i="8"/>
  <c r="D341" i="8"/>
  <c r="C341" i="8"/>
  <c r="A341" i="8"/>
  <c r="E340" i="8"/>
  <c r="D340" i="8"/>
  <c r="C340" i="8"/>
  <c r="A340" i="8"/>
  <c r="E339" i="8"/>
  <c r="D339" i="8"/>
  <c r="C339" i="8"/>
  <c r="A339" i="8"/>
  <c r="E338" i="8"/>
  <c r="D338" i="8"/>
  <c r="C338" i="8"/>
  <c r="A338" i="8"/>
  <c r="E337" i="8"/>
  <c r="D337" i="8"/>
  <c r="C337" i="8"/>
  <c r="A337" i="8"/>
  <c r="E336" i="8"/>
  <c r="D336" i="8"/>
  <c r="C336" i="8"/>
  <c r="A336" i="8"/>
  <c r="E335" i="8"/>
  <c r="D335" i="8"/>
  <c r="C335" i="8"/>
  <c r="A335" i="8"/>
  <c r="E334" i="8"/>
  <c r="D334" i="8"/>
  <c r="C334" i="8"/>
  <c r="A334" i="8"/>
  <c r="E333" i="8"/>
  <c r="D333" i="8"/>
  <c r="C333" i="8"/>
  <c r="A333" i="8"/>
  <c r="E332" i="8"/>
  <c r="D332" i="8"/>
  <c r="C332" i="8"/>
  <c r="A332" i="8"/>
  <c r="E331" i="8"/>
  <c r="D331" i="8"/>
  <c r="C331" i="8"/>
  <c r="A331" i="8"/>
  <c r="E330" i="8"/>
  <c r="D330" i="8"/>
  <c r="C330" i="8"/>
  <c r="A330" i="8"/>
  <c r="E329" i="8"/>
  <c r="D329" i="8"/>
  <c r="C329" i="8"/>
  <c r="A329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48" i="8"/>
  <c r="A328" i="8"/>
  <c r="A277" i="8"/>
  <c r="A276" i="8"/>
  <c r="A275" i="8"/>
  <c r="A274" i="8"/>
  <c r="A273" i="8"/>
  <c r="E272" i="8"/>
  <c r="D272" i="8"/>
  <c r="C272" i="8"/>
  <c r="A272" i="8"/>
  <c r="E271" i="8"/>
  <c r="D271" i="8"/>
  <c r="C271" i="8"/>
  <c r="A271" i="8"/>
  <c r="E270" i="8"/>
  <c r="D270" i="8"/>
  <c r="C270" i="8"/>
  <c r="A270" i="8"/>
  <c r="E269" i="8"/>
  <c r="D269" i="8"/>
  <c r="C269" i="8"/>
  <c r="A269" i="8"/>
  <c r="E268" i="8"/>
  <c r="D268" i="8"/>
  <c r="C268" i="8"/>
  <c r="A268" i="8"/>
  <c r="E267" i="8"/>
  <c r="D267" i="8"/>
  <c r="C267" i="8"/>
  <c r="A267" i="8"/>
  <c r="E266" i="8"/>
  <c r="D266" i="8"/>
  <c r="C266" i="8"/>
  <c r="A266" i="8"/>
  <c r="E265" i="8"/>
  <c r="D265" i="8"/>
  <c r="C265" i="8"/>
  <c r="A265" i="8"/>
  <c r="E264" i="8"/>
  <c r="D264" i="8"/>
  <c r="C264" i="8"/>
  <c r="A264" i="8"/>
  <c r="E263" i="8"/>
  <c r="D263" i="8"/>
  <c r="C263" i="8"/>
  <c r="A263" i="8"/>
  <c r="E262" i="8"/>
  <c r="D262" i="8"/>
  <c r="C262" i="8"/>
  <c r="A262" i="8"/>
  <c r="E261" i="8"/>
  <c r="D261" i="8"/>
  <c r="C261" i="8"/>
  <c r="A261" i="8"/>
  <c r="E260" i="8"/>
  <c r="D260" i="8"/>
  <c r="C260" i="8"/>
  <c r="A260" i="8"/>
  <c r="E259" i="8"/>
  <c r="D259" i="8"/>
  <c r="C259" i="8"/>
  <c r="A259" i="8"/>
  <c r="E258" i="8"/>
  <c r="D258" i="8"/>
  <c r="C258" i="8"/>
  <c r="A258" i="8"/>
  <c r="E257" i="8"/>
  <c r="D257" i="8"/>
  <c r="C257" i="8"/>
  <c r="A257" i="8"/>
  <c r="E256" i="8"/>
  <c r="D256" i="8"/>
  <c r="C256" i="8"/>
  <c r="A256" i="8"/>
  <c r="E255" i="8"/>
  <c r="D255" i="8"/>
  <c r="C255" i="8"/>
  <c r="A255" i="8"/>
  <c r="E254" i="8"/>
  <c r="D254" i="8"/>
  <c r="C254" i="8"/>
  <c r="A254" i="8"/>
  <c r="E253" i="8"/>
  <c r="D253" i="8"/>
  <c r="C253" i="8"/>
  <c r="A253" i="8"/>
  <c r="E252" i="8"/>
  <c r="D252" i="8"/>
  <c r="C252" i="8"/>
  <c r="A252" i="8"/>
  <c r="E251" i="8"/>
  <c r="D251" i="8"/>
  <c r="C251" i="8"/>
  <c r="A251" i="8"/>
  <c r="E250" i="8"/>
  <c r="D250" i="8"/>
  <c r="C250" i="8"/>
  <c r="A250" i="8"/>
  <c r="E249" i="8"/>
  <c r="D249" i="8"/>
  <c r="C249" i="8"/>
  <c r="A249" i="8"/>
  <c r="E248" i="8"/>
  <c r="D248" i="8"/>
  <c r="C248" i="8"/>
  <c r="A248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67" i="8"/>
  <c r="A247" i="8"/>
  <c r="A196" i="8"/>
  <c r="A195" i="8"/>
  <c r="E194" i="8"/>
  <c r="D194" i="8"/>
  <c r="C194" i="8"/>
  <c r="A194" i="8"/>
  <c r="E193" i="8"/>
  <c r="D193" i="8"/>
  <c r="C193" i="8"/>
  <c r="A193" i="8"/>
  <c r="E192" i="8"/>
  <c r="D192" i="8"/>
  <c r="C192" i="8"/>
  <c r="A192" i="8"/>
  <c r="E191" i="8"/>
  <c r="D191" i="8"/>
  <c r="C191" i="8"/>
  <c r="A191" i="8"/>
  <c r="E190" i="8"/>
  <c r="D190" i="8"/>
  <c r="C190" i="8"/>
  <c r="A190" i="8"/>
  <c r="E189" i="8"/>
  <c r="D189" i="8"/>
  <c r="C189" i="8"/>
  <c r="A189" i="8"/>
  <c r="E188" i="8"/>
  <c r="D188" i="8"/>
  <c r="C188" i="8"/>
  <c r="A188" i="8"/>
  <c r="E187" i="8"/>
  <c r="D187" i="8"/>
  <c r="C187" i="8"/>
  <c r="A187" i="8"/>
  <c r="E186" i="8"/>
  <c r="D186" i="8"/>
  <c r="C186" i="8"/>
  <c r="A186" i="8"/>
  <c r="E185" i="8"/>
  <c r="D185" i="8"/>
  <c r="C185" i="8"/>
  <c r="A185" i="8"/>
  <c r="E184" i="8"/>
  <c r="D184" i="8"/>
  <c r="C184" i="8"/>
  <c r="A184" i="8"/>
  <c r="E183" i="8"/>
  <c r="D183" i="8"/>
  <c r="C183" i="8"/>
  <c r="A183" i="8"/>
  <c r="E182" i="8"/>
  <c r="D182" i="8"/>
  <c r="C182" i="8"/>
  <c r="A182" i="8"/>
  <c r="E181" i="8"/>
  <c r="D181" i="8"/>
  <c r="C181" i="8"/>
  <c r="A181" i="8"/>
  <c r="E180" i="8"/>
  <c r="D180" i="8"/>
  <c r="C180" i="8"/>
  <c r="A180" i="8"/>
  <c r="E179" i="8"/>
  <c r="D179" i="8"/>
  <c r="C179" i="8"/>
  <c r="A179" i="8"/>
  <c r="E178" i="8"/>
  <c r="D178" i="8"/>
  <c r="C178" i="8"/>
  <c r="A178" i="8"/>
  <c r="E177" i="8"/>
  <c r="D177" i="8"/>
  <c r="C177" i="8"/>
  <c r="A177" i="8"/>
  <c r="E176" i="8"/>
  <c r="D176" i="8"/>
  <c r="C176" i="8"/>
  <c r="A176" i="8"/>
  <c r="E175" i="8"/>
  <c r="D175" i="8"/>
  <c r="C175" i="8"/>
  <c r="A175" i="8"/>
  <c r="E174" i="8"/>
  <c r="D174" i="8"/>
  <c r="C174" i="8"/>
  <c r="A174" i="8"/>
  <c r="E173" i="8"/>
  <c r="D173" i="8"/>
  <c r="C173" i="8"/>
  <c r="A173" i="8"/>
  <c r="E172" i="8"/>
  <c r="D172" i="8"/>
  <c r="C172" i="8"/>
  <c r="A172" i="8"/>
  <c r="E171" i="8"/>
  <c r="D171" i="8"/>
  <c r="C171" i="8"/>
  <c r="A171" i="8"/>
  <c r="E170" i="8"/>
  <c r="D170" i="8"/>
  <c r="C170" i="8"/>
  <c r="A170" i="8"/>
  <c r="E169" i="8"/>
  <c r="D169" i="8"/>
  <c r="C169" i="8"/>
  <c r="A169" i="8"/>
  <c r="E168" i="8"/>
  <c r="D168" i="8"/>
  <c r="C168" i="8"/>
  <c r="A168" i="8"/>
  <c r="E167" i="8"/>
  <c r="D167" i="8"/>
  <c r="C167" i="8"/>
  <c r="A167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66" i="8"/>
  <c r="A2" i="8"/>
  <c r="H4" i="8"/>
  <c r="H3" i="8"/>
  <c r="H2" i="8"/>
  <c r="G3" i="8"/>
  <c r="G4" i="8"/>
  <c r="E4" i="8"/>
  <c r="D4" i="8"/>
  <c r="C4" i="8"/>
  <c r="E3" i="8"/>
  <c r="D3" i="8"/>
  <c r="C3" i="8"/>
  <c r="E2" i="8"/>
  <c r="D2" i="8"/>
  <c r="C2" i="8"/>
  <c r="F356" i="8"/>
  <c r="J356" i="8" s="1"/>
  <c r="F355" i="8"/>
  <c r="J355" i="8" s="1"/>
  <c r="F354" i="8"/>
  <c r="J354" i="8" s="1"/>
  <c r="F353" i="8"/>
  <c r="J353" i="8" s="1"/>
  <c r="F352" i="8"/>
  <c r="J352" i="8" s="1"/>
  <c r="F351" i="8"/>
  <c r="J351" i="8" s="1"/>
  <c r="F350" i="8"/>
  <c r="J350" i="8" s="1"/>
  <c r="F349" i="8"/>
  <c r="J349" i="8" s="1"/>
  <c r="F348" i="8"/>
  <c r="J348" i="8" s="1"/>
  <c r="F347" i="8"/>
  <c r="J347" i="8" s="1"/>
  <c r="F346" i="8"/>
  <c r="J346" i="8" s="1"/>
  <c r="F345" i="8"/>
  <c r="J345" i="8" s="1"/>
  <c r="F344" i="8"/>
  <c r="J344" i="8" s="1"/>
  <c r="F343" i="8"/>
  <c r="J343" i="8" s="1"/>
  <c r="F342" i="8"/>
  <c r="J342" i="8" s="1"/>
  <c r="F341" i="8"/>
  <c r="J341" i="8" s="1"/>
  <c r="F340" i="8"/>
  <c r="J340" i="8" s="1"/>
  <c r="F339" i="8"/>
  <c r="J339" i="8" s="1"/>
  <c r="F338" i="8"/>
  <c r="J338" i="8" s="1"/>
  <c r="F337" i="8"/>
  <c r="J337" i="8" s="1"/>
  <c r="F336" i="8"/>
  <c r="J336" i="8" s="1"/>
  <c r="F335" i="8"/>
  <c r="J335" i="8" s="1"/>
  <c r="F334" i="8"/>
  <c r="J334" i="8" s="1"/>
  <c r="F333" i="8"/>
  <c r="J333" i="8" s="1"/>
  <c r="F332" i="8"/>
  <c r="J332" i="8" s="1"/>
  <c r="F331" i="8"/>
  <c r="J331" i="8" s="1"/>
  <c r="F330" i="8"/>
  <c r="J330" i="8" s="1"/>
  <c r="F329" i="8"/>
  <c r="J329" i="8" s="1"/>
  <c r="F272" i="8"/>
  <c r="J272" i="8" s="1"/>
  <c r="F271" i="8"/>
  <c r="J271" i="8" s="1"/>
  <c r="F270" i="8"/>
  <c r="J270" i="8" s="1"/>
  <c r="F269" i="8"/>
  <c r="J269" i="8" s="1"/>
  <c r="F268" i="8"/>
  <c r="J268" i="8" s="1"/>
  <c r="F267" i="8"/>
  <c r="J267" i="8" s="1"/>
  <c r="F266" i="8"/>
  <c r="J266" i="8" s="1"/>
  <c r="F265" i="8"/>
  <c r="J265" i="8" s="1"/>
  <c r="F264" i="8"/>
  <c r="J264" i="8" s="1"/>
  <c r="F263" i="8"/>
  <c r="J263" i="8" s="1"/>
  <c r="F262" i="8"/>
  <c r="J262" i="8" s="1"/>
  <c r="F261" i="8"/>
  <c r="J261" i="8" s="1"/>
  <c r="F260" i="8"/>
  <c r="J260" i="8" s="1"/>
  <c r="F259" i="8"/>
  <c r="J259" i="8" s="1"/>
  <c r="F258" i="8"/>
  <c r="J258" i="8" s="1"/>
  <c r="F257" i="8"/>
  <c r="J257" i="8" s="1"/>
  <c r="F256" i="8"/>
  <c r="J256" i="8" s="1"/>
  <c r="F255" i="8"/>
  <c r="J255" i="8" s="1"/>
  <c r="F254" i="8"/>
  <c r="J254" i="8" s="1"/>
  <c r="F253" i="8"/>
  <c r="J253" i="8" s="1"/>
  <c r="F252" i="8"/>
  <c r="J252" i="8" s="1"/>
  <c r="F251" i="8"/>
  <c r="J251" i="8" s="1"/>
  <c r="F250" i="8"/>
  <c r="J250" i="8" s="1"/>
  <c r="F249" i="8"/>
  <c r="J249" i="8" s="1"/>
  <c r="F248" i="8"/>
  <c r="J248" i="8" s="1"/>
  <c r="F194" i="8"/>
  <c r="J194" i="8" s="1"/>
  <c r="F193" i="8"/>
  <c r="J193" i="8" s="1"/>
  <c r="F192" i="8"/>
  <c r="J192" i="8" s="1"/>
  <c r="F191" i="8"/>
  <c r="J191" i="8" s="1"/>
  <c r="F190" i="8"/>
  <c r="J190" i="8" s="1"/>
  <c r="F189" i="8"/>
  <c r="J189" i="8" s="1"/>
  <c r="F188" i="8"/>
  <c r="J188" i="8" s="1"/>
  <c r="F187" i="8"/>
  <c r="J187" i="8" s="1"/>
  <c r="F186" i="8"/>
  <c r="J186" i="8" s="1"/>
  <c r="F185" i="8"/>
  <c r="J185" i="8" s="1"/>
  <c r="F184" i="8"/>
  <c r="J184" i="8" s="1"/>
  <c r="F183" i="8"/>
  <c r="J183" i="8" s="1"/>
  <c r="F182" i="8"/>
  <c r="J182" i="8" s="1"/>
  <c r="F181" i="8"/>
  <c r="J181" i="8" s="1"/>
  <c r="F180" i="8"/>
  <c r="J180" i="8" s="1"/>
  <c r="F179" i="8"/>
  <c r="J179" i="8" s="1"/>
  <c r="F178" i="8"/>
  <c r="J178" i="8" s="1"/>
  <c r="F177" i="8"/>
  <c r="J177" i="8" s="1"/>
  <c r="F176" i="8"/>
  <c r="J176" i="8" s="1"/>
  <c r="F175" i="8"/>
  <c r="J175" i="8" s="1"/>
  <c r="F174" i="8"/>
  <c r="J174" i="8" s="1"/>
  <c r="F173" i="8"/>
  <c r="J173" i="8" s="1"/>
  <c r="F172" i="8"/>
  <c r="J172" i="8" s="1"/>
  <c r="F171" i="8"/>
  <c r="J171" i="8" s="1"/>
  <c r="F170" i="8"/>
  <c r="J170" i="8" s="1"/>
  <c r="F169" i="8"/>
  <c r="J169" i="8" s="1"/>
  <c r="F168" i="8"/>
  <c r="J168" i="8" s="1"/>
  <c r="F167" i="8"/>
  <c r="J167" i="8" s="1"/>
  <c r="F108" i="8"/>
  <c r="J108" i="8" s="1"/>
  <c r="F106" i="8"/>
  <c r="J106" i="8" s="1"/>
  <c r="F102" i="8"/>
  <c r="J102" i="8" s="1"/>
  <c r="F100" i="8"/>
  <c r="J100" i="8" s="1"/>
  <c r="F90" i="8"/>
  <c r="J90" i="8" s="1"/>
  <c r="F6" i="8"/>
  <c r="J6" i="8" s="1"/>
  <c r="F7" i="8"/>
  <c r="J7" i="8" s="1"/>
  <c r="F8" i="8"/>
  <c r="J8" i="8" s="1"/>
  <c r="F9" i="8"/>
  <c r="J9" i="8" s="1"/>
  <c r="F10" i="8"/>
  <c r="J10" i="8" s="1"/>
  <c r="F11" i="8"/>
  <c r="J11" i="8" s="1"/>
  <c r="F13" i="8"/>
  <c r="J13" i="8" s="1"/>
  <c r="F14" i="8"/>
  <c r="J14" i="8" s="1"/>
  <c r="F15" i="8"/>
  <c r="J15" i="8" s="1"/>
  <c r="F16" i="8"/>
  <c r="J16" i="8" s="1"/>
  <c r="F17" i="8"/>
  <c r="J17" i="8" s="1"/>
  <c r="F18" i="8"/>
  <c r="J18" i="8" s="1"/>
  <c r="F19" i="8"/>
  <c r="J19" i="8" s="1"/>
  <c r="F21" i="8"/>
  <c r="J21" i="8" s="1"/>
  <c r="F22" i="8"/>
  <c r="J22" i="8" s="1"/>
  <c r="F23" i="8"/>
  <c r="J23" i="8" s="1"/>
  <c r="F24" i="8"/>
  <c r="J24" i="8" s="1"/>
  <c r="F25" i="8"/>
  <c r="J25" i="8" s="1"/>
  <c r="F26" i="8"/>
  <c r="J26" i="8" s="1"/>
  <c r="F27" i="8"/>
  <c r="J27" i="8" s="1"/>
  <c r="F28" i="8"/>
  <c r="J28" i="8" s="1"/>
  <c r="F30" i="8"/>
  <c r="J30" i="8" s="1"/>
  <c r="F31" i="8"/>
  <c r="J31" i="8" s="1"/>
  <c r="F32" i="8"/>
  <c r="J32" i="8" s="1"/>
  <c r="F34" i="8"/>
  <c r="J34" i="8" s="1"/>
  <c r="H87" i="8"/>
  <c r="H88" i="8"/>
  <c r="H89" i="8"/>
  <c r="H90" i="8"/>
  <c r="H91" i="8"/>
  <c r="H92" i="8"/>
  <c r="H93" i="8"/>
  <c r="F94" i="8"/>
  <c r="J94" i="8" s="1"/>
  <c r="H94" i="8"/>
  <c r="H95" i="8"/>
  <c r="H96" i="8"/>
  <c r="H97" i="8"/>
  <c r="F98" i="8"/>
  <c r="J98" i="8" s="1"/>
  <c r="H98" i="8"/>
  <c r="H99" i="8"/>
  <c r="H100" i="8"/>
  <c r="H101" i="8"/>
  <c r="H102" i="8"/>
  <c r="H103" i="8"/>
  <c r="H104" i="8"/>
  <c r="H105" i="8"/>
  <c r="H106" i="8"/>
  <c r="H107" i="8"/>
  <c r="H108" i="8"/>
  <c r="H109" i="8"/>
  <c r="F110" i="8"/>
  <c r="J110" i="8" s="1"/>
  <c r="H110" i="8"/>
  <c r="H111" i="8"/>
  <c r="H112" i="8"/>
  <c r="H86" i="8"/>
  <c r="C5" i="8"/>
  <c r="D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5" i="8"/>
  <c r="F12" i="8"/>
  <c r="J12" i="8" s="1"/>
  <c r="F20" i="8"/>
  <c r="J20" i="8" s="1"/>
  <c r="E5" i="8"/>
  <c r="F92" i="8" l="1"/>
  <c r="J92" i="8" s="1"/>
  <c r="F87" i="8"/>
  <c r="J87" i="8" s="1"/>
  <c r="F91" i="8"/>
  <c r="J91" i="8" s="1"/>
  <c r="F95" i="8"/>
  <c r="J95" i="8" s="1"/>
  <c r="F99" i="8"/>
  <c r="J99" i="8" s="1"/>
  <c r="F103" i="8"/>
  <c r="J103" i="8" s="1"/>
  <c r="F107" i="8"/>
  <c r="J107" i="8" s="1"/>
  <c r="F111" i="8"/>
  <c r="J111" i="8" s="1"/>
  <c r="F112" i="8"/>
  <c r="J112" i="8" s="1"/>
  <c r="F104" i="8"/>
  <c r="J104" i="8" s="1"/>
  <c r="F96" i="8"/>
  <c r="J96" i="8" s="1"/>
  <c r="F88" i="8"/>
  <c r="J88" i="8" s="1"/>
  <c r="F29" i="8"/>
  <c r="J29" i="8" s="1"/>
  <c r="F5" i="8"/>
  <c r="J5" i="8" s="1"/>
  <c r="F109" i="8"/>
  <c r="J109" i="8" s="1"/>
  <c r="F105" i="8"/>
  <c r="J105" i="8" s="1"/>
  <c r="F101" i="8"/>
  <c r="J101" i="8" s="1"/>
  <c r="F97" i="8"/>
  <c r="J97" i="8" s="1"/>
  <c r="F93" i="8"/>
  <c r="J93" i="8" s="1"/>
  <c r="F89" i="8"/>
  <c r="J89" i="8" s="1"/>
  <c r="F86" i="8"/>
  <c r="J86" i="8" s="1"/>
  <c r="F33" i="8"/>
  <c r="J33" i="8" s="1"/>
  <c r="O87" i="1" l="1"/>
  <c r="L87" i="1"/>
  <c r="I87" i="1"/>
  <c r="F87" i="1"/>
  <c r="G191" i="8" l="1"/>
  <c r="G190" i="8"/>
  <c r="G171" i="8"/>
  <c r="G187" i="8"/>
  <c r="G180" i="8"/>
  <c r="G193" i="8"/>
  <c r="G173" i="8"/>
  <c r="G189" i="8"/>
  <c r="G179" i="8"/>
  <c r="G186" i="8"/>
  <c r="G172" i="8"/>
  <c r="G170" i="8"/>
  <c r="G178" i="8"/>
  <c r="G167" i="8"/>
  <c r="G182" i="8"/>
  <c r="G175" i="8"/>
  <c r="G194" i="8"/>
  <c r="G174" i="8"/>
  <c r="G168" i="8"/>
  <c r="G184" i="8"/>
  <c r="G177" i="8"/>
  <c r="G192" i="8"/>
  <c r="G188" i="8"/>
  <c r="G181" i="8"/>
  <c r="G183" i="8"/>
  <c r="G176" i="8"/>
  <c r="G169" i="8"/>
  <c r="G185" i="8"/>
  <c r="G256" i="8"/>
  <c r="G272" i="8"/>
  <c r="G259" i="8"/>
  <c r="G249" i="8"/>
  <c r="G265" i="8"/>
  <c r="G254" i="8"/>
  <c r="G270" i="8"/>
  <c r="G264" i="8"/>
  <c r="G257" i="8"/>
  <c r="G262" i="8"/>
  <c r="G261" i="8"/>
  <c r="G271" i="8"/>
  <c r="G250" i="8"/>
  <c r="G251" i="8"/>
  <c r="G260" i="8"/>
  <c r="G267" i="8"/>
  <c r="G253" i="8"/>
  <c r="G269" i="8"/>
  <c r="G255" i="8"/>
  <c r="G258" i="8"/>
  <c r="G248" i="8"/>
  <c r="G263" i="8"/>
  <c r="G252" i="8"/>
  <c r="G268" i="8"/>
  <c r="G266" i="8"/>
  <c r="G345" i="8"/>
  <c r="G338" i="8"/>
  <c r="G354" i="8"/>
  <c r="G331" i="8"/>
  <c r="G347" i="8"/>
  <c r="G336" i="8"/>
  <c r="G352" i="8"/>
  <c r="G329" i="8"/>
  <c r="G330" i="8"/>
  <c r="G346" i="8"/>
  <c r="G339" i="8"/>
  <c r="G344" i="8"/>
  <c r="G350" i="8"/>
  <c r="G343" i="8"/>
  <c r="G332" i="8"/>
  <c r="G349" i="8"/>
  <c r="G342" i="8"/>
  <c r="G335" i="8"/>
  <c r="G351" i="8"/>
  <c r="G341" i="8"/>
  <c r="G340" i="8"/>
  <c r="G356" i="8"/>
  <c r="G353" i="8"/>
  <c r="G333" i="8"/>
  <c r="G355" i="8"/>
  <c r="G337" i="8"/>
  <c r="G334" i="8"/>
  <c r="G348" i="8"/>
  <c r="G92" i="8"/>
  <c r="G89" i="8"/>
  <c r="G105" i="8"/>
  <c r="G112" i="8"/>
  <c r="G98" i="8"/>
  <c r="G96" i="8"/>
  <c r="G91" i="8"/>
  <c r="G107" i="8"/>
  <c r="G90" i="8"/>
  <c r="G101" i="8"/>
  <c r="G94" i="8"/>
  <c r="G110" i="8"/>
  <c r="G103" i="8"/>
  <c r="G108" i="8"/>
  <c r="G93" i="8"/>
  <c r="G109" i="8"/>
  <c r="G86" i="8"/>
  <c r="G102" i="8"/>
  <c r="G104" i="8"/>
  <c r="G95" i="8"/>
  <c r="G111" i="8"/>
  <c r="G97" i="8"/>
  <c r="G88" i="8"/>
  <c r="G106" i="8"/>
  <c r="G99" i="8"/>
  <c r="G100" i="8"/>
  <c r="G87" i="8"/>
  <c r="G10" i="8"/>
  <c r="G15" i="8"/>
  <c r="G20" i="8"/>
  <c r="G26" i="8"/>
  <c r="G31" i="8"/>
  <c r="G16" i="8"/>
  <c r="G22" i="8"/>
  <c r="G32" i="8"/>
  <c r="G14" i="8"/>
  <c r="G24" i="8"/>
  <c r="G6" i="8"/>
  <c r="G11" i="8"/>
  <c r="G27" i="8"/>
  <c r="G19" i="8"/>
  <c r="G30" i="8"/>
  <c r="G7" i="8"/>
  <c r="G12" i="8"/>
  <c r="G18" i="8"/>
  <c r="G23" i="8"/>
  <c r="G28" i="8"/>
  <c r="G34" i="8"/>
  <c r="G8" i="8"/>
  <c r="G29" i="8"/>
  <c r="G25" i="8"/>
  <c r="G9" i="8"/>
  <c r="G5" i="8"/>
  <c r="G13" i="8"/>
  <c r="G21" i="8"/>
  <c r="G17" i="8"/>
  <c r="G3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19B7CB-D44A-4484-B769-12C5EB8D05C0}" keepAlive="1" name="クエリ - 商品" description="ブック内の '商品' クエリへの接続です。" type="5" refreshedVersion="8" background="1" saveData="1">
    <dbPr connection="Provider=Microsoft.Mashup.OleDb.1;Data Source=$Workbook$;Location=商品;Extended Properties=&quot;&quot;" command="SELECT * FROM [商品]"/>
  </connection>
  <connection id="2" xr16:uid="{91A01CD9-DE7A-4376-9AC0-2DF21AC83838}" keepAlive="1" name="クエリ - 商品分類" description="ブック内の '商品分類' クエリへの接続です。" type="5" refreshedVersion="8" background="1" saveData="1">
    <dbPr connection="Provider=Microsoft.Mashup.OleDb.1;Data Source=$Workbook$;Location=商品分類;Extended Properties=&quot;&quot;" command="SELECT * FROM [商品分類]"/>
  </connection>
</connections>
</file>

<file path=xl/sharedStrings.xml><?xml version="1.0" encoding="utf-8"?>
<sst xmlns="http://schemas.openxmlformats.org/spreadsheetml/2006/main" count="2699" uniqueCount="1136">
  <si>
    <t>着日</t>
    <rPh sb="0" eb="2">
      <t>チャクビ</t>
    </rPh>
    <phoneticPr fontId="3"/>
  </si>
  <si>
    <t>発注先</t>
    <rPh sb="0" eb="2">
      <t>ハッチュウ</t>
    </rPh>
    <rPh sb="2" eb="3">
      <t>サキ</t>
    </rPh>
    <phoneticPr fontId="3"/>
  </si>
  <si>
    <t>数量</t>
    <rPh sb="0" eb="2">
      <t>スウリョウ</t>
    </rPh>
    <phoneticPr fontId="3"/>
  </si>
  <si>
    <t>商品コード</t>
    <rPh sb="0" eb="2">
      <t>ショウヒン</t>
    </rPh>
    <phoneticPr fontId="3"/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</si>
  <si>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</si>
  <si>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</si>
  <si>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</si>
  <si>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</si>
  <si>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</si>
  <si>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</si>
  <si>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</si>
  <si>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</si>
  <si>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</si>
  <si>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商品コード</t>
  </si>
  <si>
    <t>商品分類</t>
  </si>
  <si>
    <t>商品分類名</t>
  </si>
  <si>
    <t>コード</t>
    <phoneticPr fontId="3"/>
  </si>
  <si>
    <t>名称</t>
    <rPh sb="0" eb="2">
      <t>メイショウ</t>
    </rPh>
    <phoneticPr fontId="3"/>
  </si>
  <si>
    <t>10</t>
  </si>
  <si>
    <t>150gライス</t>
  </si>
  <si>
    <t>定期便送料</t>
  </si>
  <si>
    <t>得意先コード</t>
    <rPh sb="0" eb="3">
      <t>トクイサキ</t>
    </rPh>
    <phoneticPr fontId="3"/>
  </si>
  <si>
    <t>得意先名</t>
    <rPh sb="0" eb="3">
      <t>トクイサキ</t>
    </rPh>
    <rPh sb="3" eb="4">
      <t>メイ</t>
    </rPh>
    <phoneticPr fontId="3"/>
  </si>
  <si>
    <t>商品名</t>
    <rPh sb="0" eb="3">
      <t>ショウヒンメイ</t>
    </rPh>
    <phoneticPr fontId="3"/>
  </si>
  <si>
    <t>商品分類2</t>
  </si>
  <si>
    <t>No.</t>
    <phoneticPr fontId="25"/>
  </si>
  <si>
    <t>計</t>
    <rPh sb="0" eb="1">
      <t>ケイ</t>
    </rPh>
    <phoneticPr fontId="3"/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</si>
  <si>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</si>
  <si>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</si>
  <si>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</si>
  <si>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</si>
  <si>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</si>
  <si>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</si>
  <si>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</si>
  <si>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</si>
  <si>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</si>
  <si>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02001</t>
  </si>
  <si>
    <t>02002</t>
  </si>
  <si>
    <t>04001</t>
  </si>
  <si>
    <t>29</t>
  </si>
  <si>
    <t>30</t>
  </si>
  <si>
    <t>31</t>
  </si>
  <si>
    <t>32</t>
  </si>
  <si>
    <t>36</t>
  </si>
  <si>
    <t>37</t>
  </si>
  <si>
    <t>50</t>
  </si>
  <si>
    <t>ムーミーくん</t>
  </si>
  <si>
    <t>55</t>
  </si>
  <si>
    <t>機材レンタル代金</t>
  </si>
  <si>
    <t>56</t>
  </si>
  <si>
    <t>送料</t>
  </si>
  <si>
    <t>57</t>
  </si>
  <si>
    <t>58</t>
  </si>
  <si>
    <t>別便送料</t>
  </si>
  <si>
    <t>59</t>
  </si>
  <si>
    <t>代引手数料</t>
  </si>
  <si>
    <t>データ区分</t>
    <rPh sb="3" eb="5">
      <t>クブン</t>
    </rPh>
    <phoneticPr fontId="3"/>
  </si>
  <si>
    <t>ロット数</t>
    <rPh sb="3" eb="4">
      <t>スウ</t>
    </rPh>
    <phoneticPr fontId="3"/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</si>
  <si>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</si>
  <si>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</si>
  <si>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</si>
  <si>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</si>
  <si>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</si>
  <si>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</si>
  <si>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</si>
  <si>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</si>
  <si>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</si>
  <si>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</si>
  <si>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</si>
  <si>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</si>
  <si>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</si>
  <si>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</si>
  <si>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</si>
  <si>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</si>
  <si>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</si>
  <si>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</si>
  <si>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</si>
  <si>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</si>
  <si>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</si>
  <si>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</si>
  <si>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</si>
  <si>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</si>
  <si>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</si>
  <si>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</si>
  <si>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</si>
  <si>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</si>
  <si>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</si>
  <si>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</si>
  <si>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</si>
  <si>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</si>
  <si>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</si>
  <si>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</si>
  <si>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</si>
  <si>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</si>
  <si>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</si>
  <si>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</si>
  <si>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</si>
  <si>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</si>
  <si>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</si>
  <si>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</si>
  <si>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</si>
  <si>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</si>
  <si>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</si>
  <si>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</si>
  <si>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</si>
  <si>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</si>
  <si>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</si>
  <si>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</si>
  <si>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</si>
  <si>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</si>
  <si>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</si>
  <si>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</si>
  <si>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</si>
  <si>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</si>
  <si>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</si>
  <si>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</si>
  <si>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</si>
  <si>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</si>
  <si>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</si>
  <si>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</si>
  <si>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</si>
  <si>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</si>
  <si>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</si>
  <si>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</si>
  <si>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</si>
  <si>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</si>
  <si>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</si>
  <si>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</si>
  <si>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</si>
  <si>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</si>
  <si>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</si>
  <si>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</si>
  <si>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</si>
  <si>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</si>
  <si>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</si>
  <si>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</si>
  <si>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</si>
  <si>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</si>
  <si>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</si>
  <si>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</si>
  <si>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</si>
  <si>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</si>
  <si>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</si>
  <si>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</si>
  <si>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</si>
  <si>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</si>
  <si>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</si>
  <si>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</si>
  <si>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</si>
  <si>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</si>
  <si>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</si>
  <si>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</si>
  <si>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</si>
  <si>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</si>
  <si>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</si>
  <si>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</si>
  <si>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</si>
  <si>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</si>
  <si>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</si>
  <si>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</si>
  <si>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</si>
  <si>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</si>
  <si>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</si>
  <si>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</si>
  <si>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</si>
  <si>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</si>
  <si>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</si>
  <si>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</si>
  <si>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</si>
  <si>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</si>
  <si>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</si>
  <si>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</si>
  <si>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</si>
  <si>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</si>
  <si>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</si>
  <si>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</si>
  <si>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</si>
  <si>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</si>
  <si>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</si>
  <si>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</si>
  <si>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</si>
  <si>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</si>
  <si>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</si>
  <si>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</si>
  <si>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</si>
  <si>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</si>
  <si>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</si>
  <si>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</si>
  <si>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</si>
  <si>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</si>
  <si>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</si>
  <si>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</si>
  <si>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</si>
  <si>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</si>
  <si>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</si>
  <si>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</si>
  <si>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</si>
  <si>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</si>
  <si>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</si>
  <si>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</si>
  <si>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</si>
  <si>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</si>
  <si>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</si>
  <si>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</si>
  <si>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</si>
  <si>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</si>
  <si>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</si>
  <si>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</si>
  <si>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</si>
  <si>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</si>
  <si>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</si>
  <si>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</si>
  <si>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</si>
  <si>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</si>
  <si>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</si>
  <si>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</si>
  <si>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</si>
  <si>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</si>
  <si>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</si>
  <si>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</si>
  <si>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</si>
  <si>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</si>
  <si>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</si>
  <si>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</si>
  <si>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</si>
  <si>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</si>
  <si>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</si>
  <si>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</si>
  <si>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</si>
  <si>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</si>
  <si>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</si>
  <si>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</si>
  <si>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</si>
  <si>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</si>
  <si>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</si>
  <si>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</si>
  <si>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</si>
  <si>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</si>
  <si>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</si>
  <si>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</si>
  <si>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</si>
  <si>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</si>
  <si>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</si>
  <si>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</si>
  <si>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</si>
  <si>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</si>
  <si>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</si>
  <si>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</si>
  <si>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</si>
  <si>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</si>
  <si>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</si>
  <si>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</si>
  <si>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</si>
  <si>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</si>
  <si>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</si>
  <si>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</si>
  <si>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</si>
  <si>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</si>
  <si>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</si>
  <si>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</si>
  <si>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30001</t>
  </si>
  <si>
    <t>30002</t>
  </si>
  <si>
    <t>30003</t>
  </si>
  <si>
    <t>30004</t>
  </si>
  <si>
    <t>30005</t>
  </si>
  <si>
    <t>30006</t>
  </si>
  <si>
    <t>30007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</si>
  <si>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</si>
  <si>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</si>
  <si>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</si>
  <si>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</si>
  <si>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</si>
  <si>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</si>
  <si>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</si>
  <si>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</si>
  <si>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</si>
  <si>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</si>
  <si>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</si>
  <si>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</si>
  <si>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</si>
  <si>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</si>
  <si>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</si>
  <si>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</si>
  <si>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</si>
  <si>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</si>
  <si>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</si>
  <si>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</si>
  <si>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</si>
  <si>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</si>
  <si>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</si>
  <si>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</si>
  <si>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</si>
  <si>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</si>
  <si>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36001</t>
  </si>
  <si>
    <t>37001</t>
  </si>
  <si>
    <t>50001</t>
  </si>
  <si>
    <t>55001</t>
  </si>
  <si>
    <t>56001</t>
  </si>
  <si>
    <t>57001</t>
  </si>
  <si>
    <t>58001</t>
  </si>
  <si>
    <t>59001</t>
  </si>
  <si>
    <t>商品分類</t>
    <rPh sb="0" eb="4">
      <t>ショウヒンブンルイ</t>
    </rPh>
    <phoneticPr fontId="3"/>
  </si>
  <si>
    <t>商品分類名</t>
    <rPh sb="0" eb="4">
      <t>ショウヒンブンルイ</t>
    </rPh>
    <rPh sb="4" eb="5">
      <t>メイ</t>
    </rPh>
    <phoneticPr fontId="3"/>
  </si>
  <si>
    <t>38</t>
  </si>
  <si>
    <t>39</t>
  </si>
  <si>
    <t>54</t>
  </si>
  <si>
    <t>代行営業手数料</t>
  </si>
  <si>
    <t>エビカツ</t>
  </si>
  <si>
    <t>鶏のから揚げ</t>
  </si>
  <si>
    <t>すき焼き風煮</t>
  </si>
  <si>
    <t>トマトソースのチーズハンバーグ</t>
  </si>
  <si>
    <t>肉じゃが</t>
  </si>
  <si>
    <t>和風カツの卵とじ</t>
  </si>
  <si>
    <t>焼肉</t>
  </si>
  <si>
    <t>酢豚</t>
  </si>
  <si>
    <t>牛ごぼうのしぐれ煮</t>
  </si>
  <si>
    <t>チキン南蛮宮崎風</t>
  </si>
  <si>
    <t>ハンバーグデミグラスソース</t>
  </si>
  <si>
    <t>ハンバーグ和風あんかけ</t>
  </si>
  <si>
    <t>白身魚の葱ソース</t>
  </si>
  <si>
    <t>たらフライのタルタルソース</t>
  </si>
  <si>
    <t>カレー</t>
  </si>
  <si>
    <t/>
  </si>
  <si>
    <t>豆腐ハンバーグ</t>
  </si>
  <si>
    <t>煮込みハンバーグ</t>
  </si>
  <si>
    <t>赤魚のごまあんかけ</t>
  </si>
  <si>
    <t>八宝菜</t>
  </si>
  <si>
    <t>肉豆腐</t>
  </si>
  <si>
    <t>豚肉の生姜焼き</t>
  </si>
  <si>
    <t>かれいのあんかけ</t>
  </si>
  <si>
    <t>豚肉の味噌炒め</t>
  </si>
  <si>
    <t>チキン南蛮</t>
  </si>
  <si>
    <t>さばの照り煮</t>
  </si>
  <si>
    <t>梅おろしとんかつ</t>
  </si>
  <si>
    <t>豚肉野菜のオニオンソースかけ</t>
  </si>
  <si>
    <t>さばのみりん焼き</t>
  </si>
  <si>
    <t>鮭のちゃんちゃん焼き</t>
  </si>
  <si>
    <t>鶏のガーリックバター焼き</t>
  </si>
  <si>
    <t>さばの味噌煮</t>
  </si>
  <si>
    <t>ハンバーグトマトソース</t>
  </si>
  <si>
    <t>豆腐ハンバーグおろしあん</t>
  </si>
  <si>
    <t>チキンの枝豆ソース</t>
  </si>
  <si>
    <t>肉団子と豆腐の中華味噌煮込み</t>
  </si>
  <si>
    <t>カレイの玉葱だれ</t>
  </si>
  <si>
    <t>甘酢肉団子</t>
  </si>
  <si>
    <t>チキンの塩レモンソース</t>
  </si>
  <si>
    <t>豆腐ハンバーグのかにかまあんかけ</t>
  </si>
  <si>
    <t>カレイのトマトクリームソース</t>
  </si>
  <si>
    <t>カレイのチリソース</t>
  </si>
  <si>
    <t>メンチカツホワイトソース</t>
  </si>
  <si>
    <t>サワラのピリ辛みそ煮</t>
  </si>
  <si>
    <t>海老しんじょの和風カレーソース</t>
  </si>
  <si>
    <t>サーモンのクリームソース</t>
  </si>
  <si>
    <t>揚げ出し豆腐</t>
  </si>
  <si>
    <t>オムレツ＆ハムステーキ</t>
  </si>
  <si>
    <t>オムレツデミグラスソース</t>
  </si>
  <si>
    <t>ハムステーキマヨネーズソース</t>
  </si>
  <si>
    <t>和風ミートボール</t>
  </si>
  <si>
    <t>白身魚の漬け焼き</t>
  </si>
  <si>
    <t>厚揚げのあんかけ</t>
  </si>
  <si>
    <t>ミートボールのケチャップ煮</t>
  </si>
  <si>
    <t>スクランブルエッグ</t>
  </si>
  <si>
    <t>鮭の塩麹焼き</t>
  </si>
  <si>
    <t>ハッシュドポテト</t>
  </si>
  <si>
    <t>豆腐のそぼろ煮</t>
  </si>
  <si>
    <t>トマトチーズオムレツ</t>
  </si>
  <si>
    <t>ジャーマンポテト</t>
  </si>
  <si>
    <t>チキンソテー枝豆ソース</t>
  </si>
  <si>
    <t>かれいのマスタードソース</t>
  </si>
  <si>
    <t>イカのチリソース</t>
  </si>
  <si>
    <t>豚のカツソースがけ</t>
  </si>
  <si>
    <t>タラの甘酢あんかけ</t>
  </si>
  <si>
    <t>さばの味噌あんかけ</t>
  </si>
  <si>
    <t>牛肉のトマトソースかけ</t>
  </si>
  <si>
    <t>鶏肉の和風あんかけ</t>
  </si>
  <si>
    <t>ブリの味噌バターソース</t>
  </si>
  <si>
    <t>エビフライのスイートチリソース</t>
  </si>
  <si>
    <t>まぐろのポン酢あんかけ</t>
  </si>
  <si>
    <t>牛肉のデミグラスソースかけ</t>
  </si>
  <si>
    <t>鶏肉のオイスターソースかけ</t>
  </si>
  <si>
    <t>38001</t>
  </si>
  <si>
    <t>39001</t>
  </si>
  <si>
    <t>50002</t>
  </si>
  <si>
    <t>笑顔のこんだてセット</t>
  </si>
  <si>
    <t>50003</t>
  </si>
  <si>
    <t>おかゆ</t>
  </si>
  <si>
    <t>55002</t>
  </si>
  <si>
    <t>60</t>
  </si>
  <si>
    <t>60001</t>
  </si>
  <si>
    <t>カレンダー</t>
  </si>
  <si>
    <t>11</t>
  </si>
  <si>
    <t>12</t>
  </si>
  <si>
    <t>13</t>
  </si>
  <si>
    <t>14</t>
  </si>
  <si>
    <t>16</t>
  </si>
  <si>
    <t>17</t>
  </si>
  <si>
    <t>18</t>
  </si>
  <si>
    <t>19</t>
  </si>
  <si>
    <t>33</t>
  </si>
  <si>
    <t>34</t>
  </si>
  <si>
    <t>翌々月商品名</t>
  </si>
  <si>
    <t>カレイのねぎ塩焼き</t>
  </si>
  <si>
    <t>01081</t>
  </si>
  <si>
    <t>カレイのバターポン酢きのこあん</t>
  </si>
  <si>
    <t>さっぱりトマトのポークソテー</t>
  </si>
  <si>
    <t>サーモンのパセリパン粉焼き</t>
  </si>
  <si>
    <t>白身魚のパイタン鍋風</t>
  </si>
  <si>
    <t>02031</t>
  </si>
  <si>
    <t>02081</t>
  </si>
  <si>
    <t>赤魚の煮付け</t>
  </si>
  <si>
    <t>赤魚の照り煮</t>
  </si>
  <si>
    <t>野菜オムレツのトマトチーズ</t>
  </si>
  <si>
    <t>麻婆豆腐</t>
  </si>
  <si>
    <t>牛肉のオイスターソース煮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</si>
  <si>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</si>
  <si>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</si>
  <si>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</si>
  <si>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</si>
  <si>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</si>
  <si>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</si>
  <si>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</si>
  <si>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</si>
  <si>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</si>
  <si>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</si>
  <si>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</si>
  <si>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</si>
  <si>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</si>
  <si>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</si>
  <si>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</si>
  <si>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</si>
  <si>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</si>
  <si>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</si>
  <si>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</si>
  <si>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</si>
  <si>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</si>
  <si>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</si>
  <si>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</si>
  <si>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</si>
  <si>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</si>
  <si>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</si>
  <si>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</si>
  <si>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</si>
  <si>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</si>
  <si>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</si>
  <si>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</si>
  <si>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</si>
  <si>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</si>
  <si>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</si>
  <si>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</si>
  <si>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</si>
  <si>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</si>
  <si>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</si>
  <si>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</si>
  <si>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</si>
  <si>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</si>
  <si>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</si>
  <si>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</si>
  <si>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</si>
  <si>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</si>
  <si>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</si>
  <si>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</si>
  <si>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</si>
  <si>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</si>
  <si>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</si>
  <si>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</si>
  <si>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</si>
  <si>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</si>
  <si>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</si>
  <si>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</si>
  <si>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</si>
  <si>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</si>
  <si>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</si>
  <si>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</si>
  <si>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</si>
  <si>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</si>
  <si>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</si>
  <si>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</si>
  <si>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</si>
  <si>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</si>
  <si>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</si>
  <si>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</si>
  <si>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</si>
  <si>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</si>
  <si>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</si>
  <si>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</si>
  <si>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</si>
  <si>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</si>
  <si>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</si>
  <si>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</si>
  <si>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</si>
  <si>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</si>
  <si>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</si>
  <si>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16001</t>
  </si>
  <si>
    <t>16002</t>
  </si>
  <si>
    <t>16003</t>
  </si>
  <si>
    <t>16004</t>
  </si>
  <si>
    <t>16005</t>
  </si>
  <si>
    <t>カレイのたまごあんかけ</t>
  </si>
  <si>
    <t>16006</t>
  </si>
  <si>
    <t>16007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</si>
  <si>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</si>
  <si>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</si>
  <si>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</si>
  <si>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</si>
  <si>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</si>
  <si>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</si>
  <si>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</si>
  <si>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</si>
  <si>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</si>
  <si>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</si>
  <si>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</si>
  <si>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</si>
  <si>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</si>
  <si>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</si>
  <si>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18001</t>
  </si>
  <si>
    <t>●マグロのバター醤油</t>
  </si>
  <si>
    <t>18002</t>
  </si>
  <si>
    <t>18003</t>
  </si>
  <si>
    <t>●えびの天ぷらポン酢かけ</t>
  </si>
  <si>
    <t>18004</t>
  </si>
  <si>
    <t>●牛肉照り焼きソース</t>
  </si>
  <si>
    <t>18005</t>
  </si>
  <si>
    <t>●タラの梅マヨソース</t>
  </si>
  <si>
    <t>18006</t>
  </si>
  <si>
    <t>18007</t>
  </si>
  <si>
    <t>●鶏肉の塩だれかけ</t>
  </si>
  <si>
    <t>18008</t>
  </si>
  <si>
    <t>●タラのポン酢あんかけ</t>
  </si>
  <si>
    <t>18009</t>
  </si>
  <si>
    <t>18010</t>
  </si>
  <si>
    <t>●ハンバーグトマトソースかけ</t>
  </si>
  <si>
    <t>18011</t>
  </si>
  <si>
    <t>●エビフライのマヨネーズソース</t>
  </si>
  <si>
    <t>18012</t>
  </si>
  <si>
    <t>●サーモンのマヨネーズソース</t>
  </si>
  <si>
    <t>18013</t>
  </si>
  <si>
    <t>18014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</si>
  <si>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</si>
  <si>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</si>
  <si>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</si>
  <si>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</si>
  <si>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</si>
  <si>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</si>
  <si>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</si>
  <si>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</si>
  <si>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</si>
  <si>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</si>
  <si>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</si>
  <si>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</si>
  <si>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</si>
  <si>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</si>
  <si>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鶏肉の炭火焼き</t>
  </si>
  <si>
    <t>ベーコンポテトのクリーム煮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</si>
  <si>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</si>
  <si>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</si>
  <si>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</si>
  <si>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</si>
  <si>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</si>
  <si>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</si>
  <si>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</si>
  <si>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</si>
  <si>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</si>
  <si>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</si>
  <si>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</si>
  <si>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</si>
  <si>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</si>
  <si>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</si>
  <si>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34001</t>
  </si>
  <si>
    <t>34002</t>
  </si>
  <si>
    <t>34003</t>
  </si>
  <si>
    <t>34004</t>
  </si>
  <si>
    <t>34005</t>
  </si>
  <si>
    <t>34006</t>
  </si>
  <si>
    <t>34007</t>
  </si>
  <si>
    <t>健康管理食昼</t>
  </si>
  <si>
    <t>健康管理食夕</t>
  </si>
  <si>
    <t>カロリー制限食</t>
  </si>
  <si>
    <t>たんぱく制限食</t>
  </si>
  <si>
    <t>やわらか食</t>
  </si>
  <si>
    <t>健康管理食25種</t>
  </si>
  <si>
    <t>ライトムース食</t>
  </si>
  <si>
    <t>ライトミール</t>
  </si>
  <si>
    <t>15</t>
  </si>
  <si>
    <t>やわらか朝食</t>
  </si>
  <si>
    <t>ムース食</t>
  </si>
  <si>
    <t>20</t>
  </si>
  <si>
    <t>21</t>
  </si>
  <si>
    <t>22</t>
  </si>
  <si>
    <t>23</t>
  </si>
  <si>
    <t>24</t>
  </si>
  <si>
    <t>25</t>
  </si>
  <si>
    <t>26</t>
  </si>
  <si>
    <t>27</t>
  </si>
  <si>
    <t>1枠朝食(メイン)</t>
  </si>
  <si>
    <t>28</t>
  </si>
  <si>
    <t>1枠朝食(副菜)</t>
  </si>
  <si>
    <t>35</t>
  </si>
  <si>
    <t>ライトムース</t>
  </si>
  <si>
    <t>70</t>
  </si>
  <si>
    <t>スチーマーレンタル代金</t>
  </si>
  <si>
    <t>71</t>
  </si>
  <si>
    <t>スチーマー置台レンタル代金</t>
  </si>
  <si>
    <t>72</t>
  </si>
  <si>
    <t>冷凍庫レンタル代金</t>
  </si>
  <si>
    <t>タラと山芋焼きのあごだしあん</t>
  </si>
  <si>
    <t>豚バラ肉の豆乳ソースがけ</t>
  </si>
  <si>
    <t>タラのみぞれかけ</t>
  </si>
  <si>
    <t>豚肉のタッカルビ風</t>
  </si>
  <si>
    <t>焼きサバの梅ソースがけ</t>
  </si>
  <si>
    <t>赤魚の紅生姜あんかけ</t>
  </si>
  <si>
    <t>メバルの幽庵焼き</t>
  </si>
  <si>
    <t>ハンバーグ玉葱ソース</t>
  </si>
  <si>
    <t>牛肉のチャプチェ</t>
  </si>
  <si>
    <t>サワラの洋風焼き</t>
  </si>
  <si>
    <t>チキンカツの梅マヨソース</t>
  </si>
  <si>
    <t>鮭のゆずおろしあん</t>
  </si>
  <si>
    <t>01031</t>
  </si>
  <si>
    <t>01032</t>
  </si>
  <si>
    <t>鶏肉の香味ソース</t>
  </si>
  <si>
    <t>01033</t>
  </si>
  <si>
    <t>01034</t>
  </si>
  <si>
    <t>01035</t>
  </si>
  <si>
    <t>01036</t>
  </si>
  <si>
    <t>照りマヨチキン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</si>
  <si>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</si>
  <si>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</si>
  <si>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</si>
  <si>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</si>
  <si>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</si>
  <si>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</si>
  <si>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</si>
  <si>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</si>
  <si>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</si>
  <si>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ソースメンチカツ</t>
  </si>
  <si>
    <t>01046</t>
  </si>
  <si>
    <t>01047</t>
  </si>
  <si>
    <t>01048</t>
  </si>
  <si>
    <t>ヤンニョムチーズチキン</t>
  </si>
  <si>
    <t>01049</t>
  </si>
  <si>
    <t>01050</t>
  </si>
  <si>
    <t>豆腐ハンバーグ和風きのこソース</t>
  </si>
  <si>
    <t>01051</t>
  </si>
  <si>
    <t>01052</t>
  </si>
  <si>
    <t>01053</t>
  </si>
  <si>
    <t>01054</t>
  </si>
  <si>
    <t>01055</t>
  </si>
  <si>
    <t>ニンニク香る鮭のバター醤油焼き</t>
  </si>
  <si>
    <t>01056</t>
  </si>
  <si>
    <t>鶏つくねのやみつき味噌だれ</t>
  </si>
  <si>
    <t>01057</t>
  </si>
  <si>
    <t>01058</t>
  </si>
  <si>
    <t>01059</t>
  </si>
  <si>
    <t>01060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</si>
  <si>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</si>
  <si>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</si>
  <si>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</si>
  <si>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</si>
  <si>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</si>
  <si>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</si>
  <si>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</si>
  <si>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</si>
  <si>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</si>
  <si>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</si>
  <si>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</si>
  <si>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</si>
  <si>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</si>
  <si>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</si>
  <si>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</si>
  <si>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</si>
  <si>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</si>
  <si>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</si>
  <si>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</si>
  <si>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</si>
  <si>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</si>
  <si>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</si>
  <si>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</si>
  <si>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</si>
  <si>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</si>
  <si>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</si>
  <si>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</si>
  <si>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</si>
  <si>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</si>
  <si>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</si>
  <si>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</si>
  <si>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</si>
  <si>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</si>
  <si>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</si>
  <si>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</si>
  <si>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</si>
  <si>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</si>
  <si>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</si>
  <si>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</si>
  <si>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</si>
  <si>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</si>
  <si>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</si>
  <si>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</si>
  <si>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</si>
  <si>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</si>
  <si>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</si>
  <si>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</si>
  <si>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</si>
  <si>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</si>
  <si>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</si>
  <si>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</si>
  <si>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</si>
  <si>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</si>
  <si>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</si>
  <si>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</si>
  <si>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</si>
  <si>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02073</t>
  </si>
  <si>
    <t>02074</t>
  </si>
  <si>
    <t>02075</t>
  </si>
  <si>
    <t>02076</t>
  </si>
  <si>
    <t>02077</t>
  </si>
  <si>
    <t>02078</t>
  </si>
  <si>
    <t>02079</t>
  </si>
  <si>
    <t>トマトチーズハンバーグ</t>
  </si>
  <si>
    <t>ホキフライのトマトソース</t>
  </si>
  <si>
    <t>白身魚のタルタルソース風</t>
  </si>
  <si>
    <t>肉団子の甘酢あんかけ</t>
  </si>
  <si>
    <t>デミクリームコロッケ</t>
  </si>
  <si>
    <t>06040</t>
  </si>
  <si>
    <t>06041</t>
  </si>
  <si>
    <t>06042</t>
  </si>
  <si>
    <t>06043</t>
  </si>
  <si>
    <t>06044</t>
  </si>
  <si>
    <t>豆乳真丈とかに玉の野菜あん</t>
  </si>
  <si>
    <t>チーズオムレツのツナマヨソース</t>
  </si>
  <si>
    <t>鮭バーグのヨーグルトマヨソース</t>
  </si>
  <si>
    <t>白身魚のごま味噌だれ</t>
  </si>
  <si>
    <t>豆腐の肉味噌あん包み生姜あん</t>
  </si>
  <si>
    <t>08040</t>
  </si>
  <si>
    <t>08041</t>
  </si>
  <si>
    <t>豆乳真丈とかに玉野菜あん</t>
  </si>
  <si>
    <t>あじの生姜たれ</t>
  </si>
  <si>
    <t>とんかつのケチャップソース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</si>
  <si>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</si>
  <si>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</si>
  <si>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</si>
  <si>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</si>
  <si>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</si>
  <si>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</si>
  <si>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</si>
  <si>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</si>
  <si>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</si>
  <si>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</si>
  <si>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</si>
  <si>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</si>
  <si>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</si>
  <si>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</si>
  <si>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</si>
  <si>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</si>
  <si>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</si>
  <si>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</si>
  <si>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</si>
  <si>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</si>
  <si>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</si>
  <si>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</si>
  <si>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</si>
  <si>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</si>
  <si>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</si>
  <si>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豆腐ハンバーグかにかまあんかけ</t>
  </si>
  <si>
    <t>豆腐とお魚そぼろの煮物</t>
  </si>
  <si>
    <t>オムレツのケチャップソース</t>
  </si>
  <si>
    <t>だし巻き卵のあんかけ</t>
  </si>
  <si>
    <t>●とんかつの旨辛ソース</t>
  </si>
  <si>
    <t>●ウインナークリームソース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</si>
  <si>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</si>
  <si>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</si>
  <si>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</si>
  <si>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</si>
  <si>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</si>
  <si>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</si>
  <si>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</si>
  <si>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</si>
  <si>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</si>
  <si>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</si>
  <si>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</si>
  <si>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</si>
  <si>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</si>
  <si>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</si>
  <si>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</si>
  <si>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</si>
  <si>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</si>
  <si>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</si>
  <si>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</si>
  <si>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</si>
  <si>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</si>
  <si>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</si>
  <si>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</si>
  <si>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</si>
  <si>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</si>
  <si>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</si>
  <si>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</si>
  <si>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</si>
  <si>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</si>
  <si>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</si>
  <si>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</si>
  <si>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</si>
  <si>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</si>
  <si>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</si>
  <si>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</si>
  <si>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</si>
  <si>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</si>
  <si>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</si>
  <si>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</si>
  <si>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27001</t>
  </si>
  <si>
    <t>オムレツハムステーキ</t>
  </si>
  <si>
    <t>27002</t>
  </si>
  <si>
    <t>27003</t>
  </si>
  <si>
    <t>チキンソテー枝豆</t>
  </si>
  <si>
    <t>27004</t>
  </si>
  <si>
    <t>27005</t>
  </si>
  <si>
    <t>27006</t>
  </si>
  <si>
    <t>27007</t>
  </si>
  <si>
    <t>27008</t>
  </si>
  <si>
    <t>27009</t>
  </si>
  <si>
    <t>ミートボール焼売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</si>
  <si>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</si>
  <si>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</si>
  <si>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</si>
  <si>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</si>
  <si>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</si>
  <si>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</si>
  <si>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</si>
  <si>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</si>
  <si>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</si>
  <si>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</si>
  <si>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</si>
  <si>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</si>
  <si>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</si>
  <si>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</si>
  <si>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</si>
  <si>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</si>
  <si>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</si>
  <si>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</si>
  <si>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</si>
  <si>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</si>
  <si>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</si>
  <si>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</si>
  <si>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</si>
  <si>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</si>
  <si>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</si>
  <si>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</si>
  <si>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28001</t>
  </si>
  <si>
    <t>スパゲティナポリタン</t>
  </si>
  <si>
    <t>28002</t>
  </si>
  <si>
    <t>切干大根のゆかり和え</t>
  </si>
  <si>
    <t>28003</t>
  </si>
  <si>
    <t>ほうれん草のごま和え</t>
  </si>
  <si>
    <t>28004</t>
  </si>
  <si>
    <t>マカロニサラダ</t>
  </si>
  <si>
    <t>28005</t>
  </si>
  <si>
    <t>ひじきの煮物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</si>
  <si>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</si>
  <si>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</si>
  <si>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</si>
  <si>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</si>
  <si>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</si>
  <si>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</si>
  <si>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</si>
  <si>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</si>
  <si>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</si>
  <si>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</si>
  <si>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</si>
  <si>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</si>
  <si>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</si>
  <si>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</si>
  <si>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</si>
  <si>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</si>
  <si>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</si>
  <si>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</si>
  <si>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</si>
  <si>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</si>
  <si>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</si>
  <si>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</si>
  <si>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</si>
  <si>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</si>
  <si>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</si>
  <si>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</si>
  <si>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</si>
  <si>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</si>
  <si>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</si>
  <si>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</si>
  <si>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30040</t>
  </si>
  <si>
    <t>30041</t>
  </si>
  <si>
    <t>30042</t>
  </si>
  <si>
    <t>30043</t>
  </si>
  <si>
    <t>30044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</si>
  <si>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</si>
  <si>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</si>
  <si>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</si>
  <si>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</si>
  <si>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</si>
  <si>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</si>
  <si>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</si>
  <si>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</si>
  <si>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</si>
  <si>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</si>
  <si>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</si>
  <si>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</si>
  <si>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</si>
  <si>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35001</t>
  </si>
  <si>
    <t>35002</t>
  </si>
  <si>
    <t>35003</t>
  </si>
  <si>
    <t>35004</t>
  </si>
  <si>
    <t>35005</t>
  </si>
  <si>
    <t>35006</t>
  </si>
  <si>
    <t>35007</t>
  </si>
  <si>
    <t>70000</t>
  </si>
  <si>
    <t>70010</t>
  </si>
  <si>
    <t>71000</t>
  </si>
  <si>
    <t>72000</t>
  </si>
  <si>
    <t>筑前煮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</si>
  <si>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</si>
  <si>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</si>
  <si>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</si>
  <si>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</si>
  <si>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</si>
  <si>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</si>
  <si>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</si>
  <si>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</si>
  <si>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</si>
  <si>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</si>
  <si>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</si>
  <si>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</si>
  <si>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</si>
  <si>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</si>
  <si>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</si>
  <si>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</si>
  <si>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</si>
  <si>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</si>
  <si>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</si>
  <si>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</si>
  <si>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</si>
  <si>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</si>
  <si>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</si>
  <si>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</si>
  <si>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</si>
  <si>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33015</t>
  </si>
  <si>
    <t>豚しゃぶ柚子おろしだれ</t>
  </si>
  <si>
    <t>牛肉のスタミナ炒め</t>
  </si>
  <si>
    <t>●豚肉のオイスターあんかけ</t>
  </si>
  <si>
    <t>●牛肉のオイスターソースかけ</t>
  </si>
  <si>
    <t>29026</t>
  </si>
  <si>
    <t>パンプキンキッシュ風</t>
  </si>
  <si>
    <t>29027</t>
  </si>
  <si>
    <t>タラのねぎ味噌焼き</t>
  </si>
  <si>
    <t>かぼちゃと豆腐のグラタン</t>
  </si>
  <si>
    <t>かぼちゃサラダ</t>
  </si>
  <si>
    <t>豚肉のハニーマスタードソース</t>
  </si>
  <si>
    <t>ビーフカツ</t>
  </si>
  <si>
    <t>つくね大葉巻き照り焼きソース</t>
  </si>
  <si>
    <t>鶏肉のタンドリー風焼き</t>
  </si>
  <si>
    <t>広東風かに玉</t>
  </si>
  <si>
    <t>豆腐ハンバーグ麻婆ソース</t>
  </si>
  <si>
    <t>キャベツ焼き</t>
  </si>
  <si>
    <t>まつたけごはん</t>
  </si>
  <si>
    <t>特別食</t>
  </si>
  <si>
    <t>150gライス.</t>
  </si>
  <si>
    <t>みそカツ</t>
  </si>
  <si>
    <t>03001</t>
  </si>
  <si>
    <t>あんかけ焼きそば</t>
  </si>
  <si>
    <t>03002</t>
  </si>
  <si>
    <t>カレーうどん</t>
  </si>
  <si>
    <t>はんぺんのそぼろあんかけ</t>
  </si>
  <si>
    <t>●あじの煮付け</t>
  </si>
  <si>
    <t>18015</t>
  </si>
  <si>
    <t>25001</t>
  </si>
  <si>
    <t>26001</t>
  </si>
  <si>
    <t>180gライス</t>
  </si>
  <si>
    <t>健康管理食選択型</t>
  </si>
  <si>
    <t>180gライス.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</si>
  <si>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</si>
  <si>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</si>
  <si>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</si>
  <si>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</si>
  <si>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</si>
  <si>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</si>
  <si>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</si>
  <si>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</si>
  <si>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</si>
  <si>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</si>
  <si>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</si>
  <si>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</si>
  <si>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</si>
  <si>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</si>
  <si>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</si>
  <si>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</si>
  <si>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</si>
  <si>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</si>
  <si>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</si>
  <si>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</si>
  <si>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</si>
  <si>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</si>
  <si>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</si>
  <si>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</si>
  <si>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</si>
  <si>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</si>
  <si>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</si>
  <si>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</si>
  <si>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</si>
  <si>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</si>
  <si>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</si>
  <si>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</si>
  <si>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</si>
  <si>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</si>
  <si>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</si>
  <si>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</si>
  <si>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</si>
  <si>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</si>
  <si>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</si>
  <si>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</si>
  <si>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</si>
  <si>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</si>
  <si>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</si>
  <si>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</si>
  <si>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</si>
  <si>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</si>
  <si>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</si>
  <si>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</si>
  <si>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</si>
  <si>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</si>
  <si>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</si>
  <si>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</si>
  <si>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</si>
  <si>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</si>
  <si>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</si>
  <si>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</si>
  <si>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</si>
  <si>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</si>
  <si>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</si>
  <si>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</si>
  <si>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</si>
  <si>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</si>
  <si>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</si>
  <si>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</si>
  <si>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</si>
  <si>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</si>
  <si>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</si>
  <si>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</si>
  <si>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餃子のスープ煮</t>
  </si>
  <si>
    <t>24001</t>
  </si>
  <si>
    <t>あんかけちゃんぽん風</t>
  </si>
  <si>
    <t>親子煮</t>
  </si>
  <si>
    <t>だし巻き卵</t>
  </si>
  <si>
    <t>鮭とほうれん草のグラタン風</t>
  </si>
  <si>
    <t>たらの南蛮漬け</t>
  </si>
  <si>
    <t>14026</t>
  </si>
  <si>
    <t>14027</t>
  </si>
  <si>
    <t>14028</t>
  </si>
  <si>
    <t>14029</t>
  </si>
  <si>
    <t>14030</t>
  </si>
  <si>
    <t>14031</t>
  </si>
  <si>
    <t>14032</t>
  </si>
  <si>
    <t>29028</t>
  </si>
  <si>
    <t>29029</t>
  </si>
  <si>
    <t>29030</t>
  </si>
  <si>
    <t>29031</t>
  </si>
  <si>
    <t>29032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</si>
  <si>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</si>
  <si>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</si>
  <si>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</si>
  <si>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</si>
  <si>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</si>
  <si>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</si>
  <si>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</si>
  <si>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</si>
  <si>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33016</t>
  </si>
  <si>
    <t>33017</t>
  </si>
  <si>
    <t>33018</t>
  </si>
  <si>
    <t>35008</t>
  </si>
  <si>
    <t>35009</t>
  </si>
  <si>
    <t>35010</t>
  </si>
  <si>
    <t>35011</t>
  </si>
  <si>
    <t>14033</t>
  </si>
  <si>
    <t>14034</t>
  </si>
  <si>
    <t>29033</t>
  </si>
  <si>
    <t>29034</t>
  </si>
  <si>
    <t>ライス</t>
  </si>
  <si>
    <t>180ｇライス</t>
  </si>
  <si>
    <t>鶏肉のスイートチリソース</t>
  </si>
  <si>
    <t>サバのカレーマヨ焼き</t>
  </si>
  <si>
    <t>ポークチャップ</t>
  </si>
  <si>
    <t>鶏天中華たれ</t>
  </si>
  <si>
    <t>クリームコロッケオーロラソース</t>
  </si>
  <si>
    <t>スマートスチーマーレンタル代金</t>
  </si>
  <si>
    <t>豆腐ステーキ肉味噌あん</t>
  </si>
  <si>
    <t>健康管理食(カロリー)</t>
  </si>
  <si>
    <t>01061</t>
  </si>
  <si>
    <t>01062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</si>
  <si>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</si>
  <si>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</si>
  <si>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</si>
  <si>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</si>
  <si>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</si>
  <si>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</si>
  <si>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</si>
  <si>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</si>
  <si>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</si>
  <si>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</si>
  <si>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</si>
  <si>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</si>
  <si>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</si>
  <si>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</si>
  <si>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</si>
  <si>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</si>
  <si>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</si>
  <si>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</si>
  <si>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</si>
  <si>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</si>
  <si>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</si>
  <si>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10028</t>
  </si>
  <si>
    <t>10029</t>
  </si>
  <si>
    <t>10030</t>
  </si>
  <si>
    <t>10031</t>
  </si>
  <si>
    <t>白身魚のすりおろし野菜ソース</t>
  </si>
  <si>
    <t>たらのムニエルホワイトソース</t>
  </si>
  <si>
    <t>豆腐ステーキジャーマンカリー</t>
  </si>
  <si>
    <t>カレイの生姜煮</t>
  </si>
  <si>
    <t>肉団子照り焼きソース</t>
  </si>
  <si>
    <t>肉団子照り焼きソース①</t>
  </si>
  <si>
    <t>たらの牛だしあん</t>
  </si>
  <si>
    <t>新春御膳</t>
  </si>
  <si>
    <t>豆腐と大豆そぼろの玉子とじ</t>
  </si>
  <si>
    <t>34008</t>
  </si>
  <si>
    <t>7日～13日着専用</t>
    <rPh sb="1" eb="2">
      <t>ニチ</t>
    </rPh>
    <rPh sb="5" eb="6">
      <t>ニチ</t>
    </rPh>
    <rPh sb="6" eb="7">
      <t>チャク</t>
    </rPh>
    <rPh sb="7" eb="9">
      <t>センヨウ</t>
    </rPh>
    <phoneticPr fontId="3"/>
  </si>
  <si>
    <t>最小ロット…おかず36食＋ライス36食</t>
    <rPh sb="0" eb="2">
      <t>サイショウ</t>
    </rPh>
    <rPh sb="11" eb="12">
      <t>ショク</t>
    </rPh>
    <rPh sb="18" eb="19">
      <t>ショク</t>
    </rPh>
    <phoneticPr fontId="3"/>
  </si>
  <si>
    <t>株式会社ジョイント</t>
    <rPh sb="0" eb="4">
      <t>カブシキガイシャ</t>
    </rPh>
    <phoneticPr fontId="3"/>
  </si>
  <si>
    <t>おかずのみ…54食（ヤマト運輸）</t>
    <rPh sb="8" eb="9">
      <t>ショク</t>
    </rPh>
    <rPh sb="13" eb="15">
      <t>ウンユ</t>
    </rPh>
    <phoneticPr fontId="3"/>
  </si>
  <si>
    <t>ライスのみ…70食（ヤマト運輸）</t>
    <rPh sb="8" eb="9">
      <t>ショク</t>
    </rPh>
    <rPh sb="13" eb="15">
      <t>ウンユ</t>
    </rPh>
    <phoneticPr fontId="3"/>
  </si>
  <si>
    <t>おかずのみ…63食（佐川急便）</t>
    <rPh sb="8" eb="9">
      <t>ショク</t>
    </rPh>
    <rPh sb="10" eb="14">
      <t>サガワキュウビン</t>
    </rPh>
    <phoneticPr fontId="3"/>
  </si>
  <si>
    <t>ライスのみ…80食（佐川急便）</t>
    <rPh sb="8" eb="9">
      <t>ショク</t>
    </rPh>
    <rPh sb="10" eb="14">
      <t>サガワキュウビン</t>
    </rPh>
    <phoneticPr fontId="3"/>
  </si>
  <si>
    <t>bb02787</t>
    <phoneticPr fontId="3"/>
  </si>
  <si>
    <t>イルミナジョブ＆カレッジ千葉中央校</t>
    <phoneticPr fontId="3"/>
  </si>
  <si>
    <t xml:space="preserve">2025年12月9日	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</si>
</sst>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_);[Red]\(&quot;¥&quot;#,##0\)"/>
    <numFmt numFmtId="177" formatCode="0_);[Red]\(0\)"/>
  </numFmts>
  <fonts count="31" x14ac:knownFonts="1">
    <font>
      <sz val="11"/>
      <color theme="1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i/>
      <sz val="14"/>
      <color theme="1"/>
      <name val="ＭＳ Ｐゴシック"/>
      <family val="3"/>
      <charset val="128"/>
      <scheme val="minor"/>
    </font>
    <font>
      <b/>
      <i/>
      <sz val="18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i/>
      <sz val="20"/>
      <name val="ＭＳ Ｐゴシック"/>
      <family val="3"/>
      <charset val="128"/>
      <scheme val="minor"/>
    </font>
    <font>
      <i/>
      <sz val="16"/>
      <name val="ＭＳ Ｐゴシック"/>
      <family val="3"/>
      <charset val="128"/>
      <scheme val="minor"/>
    </font>
    <font>
      <b/>
      <i/>
      <sz val="22"/>
      <name val="ＭＳ Ｐゴシック"/>
      <family val="3"/>
      <charset val="128"/>
      <scheme val="minor"/>
    </font>
    <font>
      <i/>
      <sz val="22"/>
      <color theme="1"/>
      <name val="ＭＳ Ｐゴシック"/>
      <family val="3"/>
      <charset val="128"/>
      <scheme val="minor"/>
    </font>
    <font>
      <i/>
      <sz val="22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48"/>
      <color theme="1"/>
      <name val="ＭＳ Ｐゴシック"/>
      <family val="3"/>
      <charset val="128"/>
      <scheme val="minor"/>
    </font>
    <font>
      <b/>
      <sz val="28"/>
      <color indexed="18"/>
      <name val="ＭＳ Ｐゴシック"/>
      <family val="3"/>
      <charset val="128"/>
    </font>
    <font>
      <b/>
      <i/>
      <sz val="16"/>
      <name val="ＭＳ Ｐゴシック"/>
      <family val="3"/>
      <charset val="128"/>
      <scheme val="minor"/>
    </font>
    <font>
      <b/>
      <i/>
      <sz val="18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28"/>
      <color rgb="FF005828"/>
      <name val="ＭＳ Ｐゴシック"/>
      <family val="3"/>
      <charset val="128"/>
    </font>
    <font>
      <b/>
      <i/>
      <sz val="22"/>
      <color theme="1"/>
      <name val="ＭＳ Ｐゴシック"/>
      <family val="3"/>
      <charset val="128"/>
      <scheme val="minor"/>
    </font>
    <font>
      <i/>
      <sz val="16"/>
      <color theme="0"/>
      <name val="ＭＳ Ｐゴシック"/>
      <family val="3"/>
      <charset val="128"/>
      <scheme val="minor"/>
    </font>
    <font>
      <b/>
      <sz val="16"/>
      <color theme="1"/>
      <name val="BIZ UDPゴシック"/>
      <family val="3"/>
      <charset val="128"/>
    </font>
    <font>
      <b/>
      <i/>
      <sz val="16"/>
      <color theme="1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</cellStyleXfs>
  <cellXfs count="78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56" fontId="7" fillId="0" borderId="0" xfId="0" applyNumberFormat="1" applyFont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31" fontId="6" fillId="2" borderId="0" xfId="0" applyNumberFormat="1" applyFont="1" applyFill="1" applyAlignment="1">
      <alignment horizontal="center" vertical="center" shrinkToFit="1"/>
    </xf>
    <xf numFmtId="0" fontId="5" fillId="2" borderId="0" xfId="0" applyFont="1" applyFill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0" fontId="9" fillId="2" borderId="0" xfId="0" applyFont="1" applyFill="1" applyAlignment="1">
      <alignment horizontal="center" vertical="center" shrinkToFit="1"/>
    </xf>
    <xf numFmtId="0" fontId="10" fillId="2" borderId="0" xfId="0" applyFont="1" applyFill="1" applyAlignment="1">
      <alignment horizontal="center" vertical="center" shrinkToFit="1"/>
    </xf>
    <xf numFmtId="0" fontId="18" fillId="2" borderId="0" xfId="0" applyFont="1" applyFill="1" applyAlignment="1">
      <alignment horizontal="right" vertical="center" shrinkToFit="1"/>
    </xf>
    <xf numFmtId="31" fontId="8" fillId="2" borderId="0" xfId="0" applyNumberFormat="1" applyFont="1" applyFill="1" applyAlignment="1">
      <alignment horizontal="center" vertical="center" shrinkToFit="1"/>
    </xf>
    <xf numFmtId="0" fontId="12" fillId="0" borderId="5" xfId="1" applyFont="1" applyBorder="1" applyAlignment="1">
      <alignment horizontal="center" vertical="center" shrinkToFit="1"/>
    </xf>
    <xf numFmtId="49" fontId="22" fillId="2" borderId="4" xfId="1" applyNumberFormat="1" applyFont="1" applyFill="1" applyBorder="1" applyAlignment="1">
      <alignment horizontal="center" vertical="center" shrinkToFit="1"/>
    </xf>
    <xf numFmtId="0" fontId="23" fillId="0" borderId="6" xfId="1" applyFont="1" applyBorder="1" applyAlignment="1">
      <alignment horizontal="center" vertical="center" shrinkToFit="1"/>
    </xf>
    <xf numFmtId="0" fontId="23" fillId="2" borderId="5" xfId="1" applyFont="1" applyFill="1" applyBorder="1" applyAlignment="1">
      <alignment horizontal="center" vertical="center" shrinkToFit="1"/>
    </xf>
    <xf numFmtId="0" fontId="24" fillId="2" borderId="0" xfId="0" applyFont="1" applyFill="1" applyAlignment="1">
      <alignment horizontal="left" vertical="center" shrinkToFit="1"/>
    </xf>
    <xf numFmtId="0" fontId="13" fillId="2" borderId="7" xfId="1" applyFont="1" applyFill="1" applyBorder="1" applyAlignment="1">
      <alignment horizontal="center" vertical="center" shrinkToFit="1"/>
    </xf>
    <xf numFmtId="0" fontId="26" fillId="3" borderId="0" xfId="1" applyFont="1" applyFill="1" applyProtection="1">
      <alignment vertical="center"/>
      <protection locked="0"/>
    </xf>
    <xf numFmtId="177" fontId="16" fillId="3" borderId="1" xfId="1" applyNumberFormat="1" applyFont="1" applyFill="1" applyBorder="1" applyAlignment="1" applyProtection="1">
      <alignment horizontal="center" vertical="center" shrinkToFit="1"/>
      <protection locked="0"/>
    </xf>
    <xf numFmtId="177" fontId="16" fillId="3" borderId="16" xfId="1" applyNumberFormat="1" applyFont="1" applyFill="1" applyBorder="1" applyAlignment="1" applyProtection="1">
      <alignment horizontal="center" vertical="center" shrinkToFit="1"/>
      <protection locked="0"/>
    </xf>
    <xf numFmtId="177" fontId="15" fillId="3" borderId="1" xfId="1" applyNumberFormat="1" applyFont="1" applyFill="1" applyBorder="1" applyAlignment="1" applyProtection="1">
      <alignment horizontal="center" vertical="center" shrinkToFit="1"/>
      <protection locked="0"/>
    </xf>
    <xf numFmtId="177" fontId="14" fillId="3" borderId="1" xfId="1" applyNumberFormat="1" applyFont="1" applyFill="1" applyBorder="1" applyAlignment="1" applyProtection="1">
      <alignment horizontal="center" vertical="center" shrinkToFit="1"/>
      <protection locked="0"/>
    </xf>
    <xf numFmtId="177" fontId="15" fillId="3" borderId="16" xfId="1" applyNumberFormat="1" applyFont="1" applyFill="1" applyBorder="1" applyAlignment="1" applyProtection="1">
      <alignment horizontal="center" vertical="center" shrinkToFit="1"/>
      <protection locked="0"/>
    </xf>
    <xf numFmtId="177" fontId="16" fillId="3" borderId="2" xfId="1" applyNumberFormat="1" applyFont="1" applyFill="1" applyBorder="1" applyAlignment="1" applyProtection="1">
      <alignment horizontal="center" vertical="center" shrinkToFit="1"/>
      <protection locked="0"/>
    </xf>
    <xf numFmtId="177" fontId="16" fillId="3" borderId="8" xfId="1" applyNumberFormat="1" applyFont="1" applyFill="1" applyBorder="1" applyAlignment="1" applyProtection="1">
      <alignment horizontal="center" vertical="center" shrinkToFit="1"/>
      <protection locked="0"/>
    </xf>
    <xf numFmtId="177" fontId="15" fillId="3" borderId="2" xfId="1" applyNumberFormat="1" applyFont="1" applyFill="1" applyBorder="1" applyAlignment="1" applyProtection="1">
      <alignment horizontal="center" vertical="center" shrinkToFit="1"/>
      <protection locked="0"/>
    </xf>
    <xf numFmtId="177" fontId="14" fillId="3" borderId="2" xfId="1" applyNumberFormat="1" applyFont="1" applyFill="1" applyBorder="1" applyAlignment="1" applyProtection="1">
      <alignment horizontal="center" vertical="center" shrinkToFit="1"/>
      <protection locked="0"/>
    </xf>
    <xf numFmtId="177" fontId="15" fillId="3" borderId="8" xfId="1" applyNumberFormat="1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 applyProtection="1"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0" fontId="13" fillId="2" borderId="17" xfId="1" applyFont="1" applyFill="1" applyBorder="1" applyAlignment="1">
      <alignment horizontal="center" vertical="center" shrinkToFit="1"/>
    </xf>
    <xf numFmtId="177" fontId="15" fillId="3" borderId="18" xfId="1" applyNumberFormat="1" applyFont="1" applyFill="1" applyBorder="1" applyAlignment="1" applyProtection="1">
      <alignment horizontal="center" vertical="center" shrinkToFit="1"/>
      <protection locked="0"/>
    </xf>
    <xf numFmtId="177" fontId="15" fillId="3" borderId="19" xfId="1" applyNumberFormat="1" applyFont="1" applyFill="1" applyBorder="1" applyAlignment="1" applyProtection="1">
      <alignment horizontal="center" vertical="center" shrinkToFit="1"/>
      <protection locked="0"/>
    </xf>
    <xf numFmtId="0" fontId="22" fillId="4" borderId="20" xfId="1" applyFont="1" applyFill="1" applyBorder="1" applyAlignment="1">
      <alignment horizontal="center" vertical="center" shrinkToFit="1"/>
    </xf>
    <xf numFmtId="177" fontId="27" fillId="4" borderId="21" xfId="1" applyNumberFormat="1" applyFont="1" applyFill="1" applyBorder="1" applyAlignment="1">
      <alignment horizontal="center" vertical="center" shrinkToFit="1"/>
    </xf>
    <xf numFmtId="177" fontId="27" fillId="4" borderId="22" xfId="1" applyNumberFormat="1" applyFont="1" applyFill="1" applyBorder="1" applyAlignment="1">
      <alignment horizontal="center" vertical="center" shrinkToFit="1"/>
    </xf>
    <xf numFmtId="0" fontId="28" fillId="2" borderId="7" xfId="1" applyFont="1" applyFill="1" applyBorder="1" applyAlignment="1">
      <alignment horizontal="center" vertical="center" shrinkToFit="1"/>
    </xf>
    <xf numFmtId="0" fontId="0" fillId="0" borderId="0" xfId="0" quotePrefix="1">
      <alignment vertical="center"/>
    </xf>
    <xf numFmtId="0" fontId="18" fillId="4" borderId="0" xfId="0" applyFont="1" applyFill="1" applyAlignment="1">
      <alignment horizontal="center" vertical="center" shrinkToFit="1"/>
    </xf>
    <xf numFmtId="0" fontId="29" fillId="3" borderId="23" xfId="0" applyFont="1" applyFill="1" applyBorder="1" applyAlignment="1">
      <alignment horizontal="left" vertical="center" shrinkToFit="1"/>
    </xf>
    <xf numFmtId="31" fontId="29" fillId="3" borderId="25" xfId="0" applyNumberFormat="1" applyFont="1" applyFill="1" applyBorder="1" applyAlignment="1">
      <alignment horizontal="left" vertical="center" shrinkToFit="1"/>
    </xf>
    <xf numFmtId="31" fontId="29" fillId="3" borderId="0" xfId="0" applyNumberFormat="1" applyFont="1" applyFill="1" applyAlignment="1">
      <alignment horizontal="left" vertical="center" shrinkToFit="1"/>
    </xf>
    <xf numFmtId="0" fontId="29" fillId="3" borderId="0" xfId="0" applyFont="1" applyFill="1" applyAlignment="1">
      <alignment horizontal="left" vertical="center" shrinkToFit="1"/>
    </xf>
    <xf numFmtId="31" fontId="29" fillId="3" borderId="26" xfId="0" applyNumberFormat="1" applyFont="1" applyFill="1" applyBorder="1" applyAlignment="1">
      <alignment horizontal="left" vertical="center" shrinkToFit="1"/>
    </xf>
    <xf numFmtId="0" fontId="29" fillId="3" borderId="25" xfId="0" applyFont="1" applyFill="1" applyBorder="1" applyAlignment="1">
      <alignment horizontal="left" vertical="center" shrinkToFit="1"/>
    </xf>
    <xf numFmtId="0" fontId="29" fillId="3" borderId="26" xfId="0" applyFont="1" applyFill="1" applyBorder="1" applyAlignment="1">
      <alignment horizontal="left" vertical="center" shrinkToFit="1"/>
    </xf>
    <xf numFmtId="0" fontId="29" fillId="3" borderId="8" xfId="0" applyFont="1" applyFill="1" applyBorder="1" applyAlignment="1">
      <alignment horizontal="left" vertical="center" shrinkToFit="1"/>
    </xf>
    <xf numFmtId="31" fontId="29" fillId="3" borderId="27" xfId="0" applyNumberFormat="1" applyFont="1" applyFill="1" applyBorder="1" applyAlignment="1">
      <alignment horizontal="left" vertical="center" shrinkToFit="1"/>
    </xf>
    <xf numFmtId="0" fontId="30" fillId="3" borderId="27" xfId="0" applyFont="1" applyFill="1" applyBorder="1" applyAlignment="1">
      <alignment horizontal="left" vertical="center" shrinkToFit="1"/>
    </xf>
    <xf numFmtId="0" fontId="29" fillId="3" borderId="27" xfId="0" applyFont="1" applyFill="1" applyBorder="1" applyAlignment="1">
      <alignment horizontal="left" vertical="center" shrinkToFit="1"/>
    </xf>
    <xf numFmtId="31" fontId="29" fillId="3" borderId="28" xfId="0" applyNumberFormat="1" applyFont="1" applyFill="1" applyBorder="1" applyAlignment="1">
      <alignment horizontal="left" vertical="center" shrinkToFit="1"/>
    </xf>
    <xf numFmtId="0" fontId="17" fillId="2" borderId="0" xfId="0" applyFont="1" applyFill="1" applyAlignment="1">
      <alignment horizontal="center" vertical="center" shrinkToFit="1"/>
    </xf>
    <xf numFmtId="38" fontId="17" fillId="2" borderId="0" xfId="0" applyNumberFormat="1" applyFont="1" applyFill="1" applyAlignment="1">
      <alignment horizontal="center" vertical="center" shrinkToFit="1"/>
    </xf>
    <xf numFmtId="176" fontId="6" fillId="2" borderId="0" xfId="0" applyNumberFormat="1" applyFont="1" applyFill="1" applyAlignment="1">
      <alignment horizontal="center" vertical="center" shrinkToFit="1"/>
    </xf>
    <xf numFmtId="0" fontId="2" fillId="2" borderId="0" xfId="0" applyFont="1" applyFill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31" fontId="6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19" fillId="2" borderId="10" xfId="0" applyFont="1" applyFill="1" applyBorder="1" applyAlignment="1">
      <alignment horizontal="center" vertical="center" shrinkToFit="1"/>
    </xf>
    <xf numFmtId="0" fontId="19" fillId="2" borderId="11" xfId="0" applyFont="1" applyFill="1" applyBorder="1" applyAlignment="1">
      <alignment horizontal="center" vertical="center" shrinkToFit="1"/>
    </xf>
    <xf numFmtId="0" fontId="19" fillId="2" borderId="12" xfId="0" applyFont="1" applyFill="1" applyBorder="1" applyAlignment="1">
      <alignment horizontal="center" vertical="center" shrinkToFit="1"/>
    </xf>
    <xf numFmtId="0" fontId="19" fillId="2" borderId="13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19" fillId="2" borderId="14" xfId="0" applyFont="1" applyFill="1" applyBorder="1" applyAlignment="1">
      <alignment horizontal="center" vertical="center" shrinkToFit="1"/>
    </xf>
    <xf numFmtId="177" fontId="20" fillId="3" borderId="9" xfId="0" applyNumberFormat="1" applyFont="1" applyFill="1" applyBorder="1" applyAlignment="1" applyProtection="1">
      <alignment horizontal="center" vertical="center" shrinkToFit="1"/>
      <protection locked="0"/>
    </xf>
    <xf numFmtId="177" fontId="20" fillId="3" borderId="0" xfId="0" applyNumberFormat="1" applyFont="1" applyFill="1" applyAlignment="1" applyProtection="1">
      <alignment horizontal="center" vertical="center" shrinkToFit="1"/>
      <protection locked="0"/>
    </xf>
    <xf numFmtId="177" fontId="20" fillId="3" borderId="15" xfId="0" applyNumberFormat="1" applyFont="1" applyFill="1" applyBorder="1" applyAlignment="1" applyProtection="1">
      <alignment horizontal="center" vertical="center" shrinkToFit="1"/>
      <protection locked="0"/>
    </xf>
    <xf numFmtId="177" fontId="20" fillId="3" borderId="13" xfId="0" applyNumberFormat="1" applyFont="1" applyFill="1" applyBorder="1" applyAlignment="1" applyProtection="1">
      <alignment horizontal="center" vertical="center" shrinkToFit="1"/>
      <protection locked="0"/>
    </xf>
    <xf numFmtId="177" fontId="20" fillId="3" borderId="3" xfId="0" applyNumberFormat="1" applyFont="1" applyFill="1" applyBorder="1" applyAlignment="1" applyProtection="1">
      <alignment horizontal="center" vertical="center" shrinkToFit="1"/>
      <protection locked="0"/>
    </xf>
    <xf numFmtId="177" fontId="20" fillId="3" borderId="14" xfId="0" applyNumberFormat="1" applyFont="1" applyFill="1" applyBorder="1" applyAlignment="1" applyProtection="1">
      <alignment horizontal="center" vertical="center" shrinkToFit="1"/>
      <protection locked="0"/>
    </xf>
    <xf numFmtId="0" fontId="21" fillId="3" borderId="3" xfId="1" applyFont="1" applyFill="1" applyBorder="1" applyAlignment="1" applyProtection="1">
      <alignment horizontal="center" vertical="center" shrinkToFit="1"/>
      <protection locked="0"/>
    </xf>
    <xf numFmtId="31" fontId="29" fillId="3" borderId="18" xfId="0" applyNumberFormat="1" applyFont="1" applyFill="1" applyBorder="1" applyAlignment="1">
      <alignment horizontal="left" vertical="center" shrinkToFit="1"/>
    </xf>
    <xf numFmtId="31" fontId="29" fillId="3" borderId="23" xfId="0" applyNumberFormat="1" applyFont="1" applyFill="1" applyBorder="1" applyAlignment="1">
      <alignment horizontal="left" vertical="center" shrinkToFit="1"/>
    </xf>
    <xf numFmtId="31" fontId="29" fillId="3" borderId="24" xfId="0" applyNumberFormat="1" applyFont="1" applyFill="1" applyBorder="1" applyAlignment="1">
      <alignment horizontal="left" vertical="center" shrinkToFi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7467BFB-5D96-4CB6-856F-D5B7B06D1928}" autoFormatId="20" applyNumberFormats="0" applyBorderFormats="0" applyFontFormats="0" applyPatternFormats="0" applyAlignmentFormats="0" applyWidthHeightFormats="0">
  <queryTableRefresh nextId="4">
    <queryTableFields count="3">
      <queryTableField id="1" name="商品分類" tableColumnId="1"/>
      <queryTableField id="2" name="商品分類名" tableColumnId="2"/>
      <queryTableField id="3" name="商品分類2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0A1FFDF-4590-499A-9839-A80F9AB54421}" autoFormatId="20" applyNumberFormats="0" applyBorderFormats="0" applyFontFormats="0" applyPatternFormats="0" applyAlignmentFormats="0" applyWidthHeightFormats="0">
  <queryTableRefresh nextId="6">
    <queryTableFields count="3">
      <queryTableField id="1" name="商品分類" tableColumnId="1"/>
      <queryTableField id="2" name="商品コード" tableColumnId="2"/>
      <queryTableField id="5" name="翌々月商品名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49B7CF-3B65-469E-8877-6EDF5F24788B}" name="商品分類" displayName="商品分類" ref="A1:C50" tableType="queryTable" totalsRowShown="0">
  <autoFilter ref="A1:C50" xr:uid="{A68D1A44-9DF9-4EB0-ABBF-34F76550565F}"/>
  <tableColumns count="3">
    <tableColumn id="1" xr3:uid="{6DB87B4F-0171-4D5B-9144-7C7F89E9AF83}" uniqueName="1" name="商品分類" queryTableFieldId="1" dataDxfId="5"/>
    <tableColumn id="2" xr3:uid="{DC42E577-F5FE-44BB-AA2D-FE0F953A68D0}" uniqueName="2" name="商品分類名" queryTableFieldId="2" dataDxfId="4"/>
    <tableColumn id="3" xr3:uid="{8A227B64-DB56-459C-99AB-765C4BD2D709}" uniqueName="3" name="商品分類2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ACDF03-635E-4FBD-8900-B960B4571D08}" name="商品" displayName="商品" ref="A1:C837" tableType="queryTable" totalsRowShown="0">
  <autoFilter ref="A1:C837" xr:uid="{FF891E91-725A-467A-833D-25A1F4D8EC7C}"/>
  <tableColumns count="3">
    <tableColumn id="1" xr3:uid="{7D7E65A8-9F52-4570-B40D-0F77626229BC}" uniqueName="1" name="商品分類" queryTableFieldId="1" dataDxfId="2"/>
    <tableColumn id="2" xr3:uid="{47048339-04F3-44D9-98BE-9133EF3DD9F2}" uniqueName="2" name="商品コード" queryTableFieldId="2" dataDxfId="1"/>
    <tableColumn id="3" xr3:uid="{EA16F85C-A6BC-4789-9647-5CA64C80A333}" uniqueName="3" name="翌々月商品名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8"/>
  <sheetViews>
    <sheetView tabSelected="1" view="pageBreakPreview" topLeftCell="A35" zoomScale="70" zoomScaleNormal="70" zoomScaleSheetLayoutView="70" workbookViewId="0">
      <selection activeCell="F11" sqref="F11"/>
    </sheetView>
  </sheetViews>
  <sheetFormatPr defaultColWidth="9" defaultRowHeight="13.5" x14ac:dyDescent="0.15"/>
  <cols>
    <col min="1" max="1" width="2.625" style="1" customWidth="1"/>
    <col min="2" max="2" width="8.625" style="1" customWidth="1"/>
    <col min="3" max="3" width="25.375" style="1" customWidth="1"/>
    <col min="4" max="4" width="9.125" style="1" customWidth="1"/>
    <col min="5" max="5" width="8.625" style="1" customWidth="1"/>
    <col min="6" max="6" width="25.375" style="1" customWidth="1"/>
    <col min="7" max="7" width="9.125" style="2" customWidth="1"/>
    <col min="8" max="8" width="8.625" style="1" customWidth="1"/>
    <col min="9" max="9" width="25.375" style="1" customWidth="1"/>
    <col min="10" max="10" width="9.125" style="2" customWidth="1"/>
    <col min="11" max="11" width="8.625" style="1" customWidth="1"/>
    <col min="12" max="12" width="25.375" style="1" customWidth="1"/>
    <col min="13" max="13" width="9.125" style="2" customWidth="1"/>
    <col min="14" max="14" width="8.625" style="1" customWidth="1"/>
    <col min="15" max="15" width="25.375" style="1" customWidth="1"/>
    <col min="16" max="16" width="9.125" style="2" customWidth="1"/>
    <col min="17" max="17" width="5.25" style="1" customWidth="1"/>
    <col min="18" max="21" width="5.125" style="1" customWidth="1"/>
    <col min="22" max="16384" width="9" style="1"/>
  </cols>
  <sheetData>
    <row r="1" spans="1:21" s="5" customFormat="1" ht="39.75" customHeight="1" x14ac:dyDescent="0.15">
      <c r="B1" s="60"/>
      <c r="C1" s="60"/>
      <c r="D1" s="60"/>
      <c r="E1" s="60"/>
      <c r="F1" s="4"/>
      <c r="G1" s="4"/>
      <c r="H1" s="6" t="s">
        <v>0</v>
      </c>
      <c r="I1" s="61" t="s">
        <v>1135</v>
      </c>
      <c r="J1" s="61"/>
      <c r="K1" s="4"/>
      <c r="L1" s="75" t="s">
        <v>1127</v>
      </c>
      <c r="M1" s="76"/>
      <c r="N1" s="44"/>
      <c r="O1" s="76" t="s">
        <v>1128</v>
      </c>
      <c r="P1" s="77"/>
    </row>
    <row r="2" spans="1:21" s="5" customFormat="1" ht="12.75" customHeight="1" x14ac:dyDescent="0.15">
      <c r="B2" s="4"/>
      <c r="C2" s="19" t="s">
        <v>16</v>
      </c>
      <c r="D2" s="19" t="s">
        <v>17</v>
      </c>
      <c r="E2" s="4"/>
      <c r="F2" s="7"/>
      <c r="G2" s="7"/>
      <c r="H2" s="4"/>
      <c r="I2" s="8"/>
      <c r="J2" s="8"/>
      <c r="K2" s="4"/>
      <c r="L2" s="45"/>
      <c r="M2" s="46"/>
      <c r="N2" s="47"/>
      <c r="O2" s="46"/>
      <c r="P2" s="48"/>
    </row>
    <row r="3" spans="1:21" s="5" customFormat="1" ht="33" customHeight="1" thickBot="1" x14ac:dyDescent="0.2">
      <c r="B3" s="4" t="s">
        <v>1</v>
      </c>
      <c r="C3" s="21" t="s">
        <v>1133</v>
      </c>
      <c r="D3" s="74" t="s">
        <v>1134</v>
      </c>
      <c r="E3" s="74"/>
      <c r="F3" s="74"/>
      <c r="I3" s="13"/>
      <c r="J3" s="9"/>
      <c r="L3" s="49" t="s">
        <v>1129</v>
      </c>
      <c r="M3" s="47"/>
      <c r="N3" s="47"/>
      <c r="O3" s="47" t="s">
        <v>1130</v>
      </c>
      <c r="P3" s="50"/>
    </row>
    <row r="4" spans="1:21" s="5" customFormat="1" ht="28.5" customHeight="1" thickBot="1" x14ac:dyDescent="0.2">
      <c r="B4" s="10"/>
      <c r="C4" s="43" t="s">
        <v>1126</v>
      </c>
      <c r="E4" s="11"/>
      <c r="H4" s="12"/>
      <c r="J4" s="14"/>
      <c r="K4" s="12"/>
      <c r="L4" s="51" t="s">
        <v>1131</v>
      </c>
      <c r="M4" s="52"/>
      <c r="N4" s="53"/>
      <c r="O4" s="54" t="s">
        <v>1132</v>
      </c>
      <c r="P4" s="55"/>
    </row>
    <row r="5" spans="1:21" s="5" customFormat="1" ht="30" customHeight="1" thickBot="1" x14ac:dyDescent="0.2">
      <c r="B5" s="16" t="s">
        <v>6</v>
      </c>
      <c r="C5" s="15" t="str">
        <f>VLOOKUP(B5,商品分類!$A$2:$B$81,2)</f>
        <v>健康管理食選択型</v>
      </c>
      <c r="D5" s="17" t="s">
        <v>2</v>
      </c>
      <c r="E5" s="16"/>
      <c r="F5" s="15" t="e">
        <f>VLOOKUP(E5,商品分類!$A$2:$B$81,2)</f>
        <v>#N/A</v>
      </c>
      <c r="G5" s="17" t="s">
        <v>2</v>
      </c>
      <c r="H5" s="16"/>
      <c r="I5" s="15" t="e">
        <f>VLOOKUP(H5,商品分類!$A$2:$B$81,2)</f>
        <v>#N/A</v>
      </c>
      <c r="J5" s="17" t="s">
        <v>2</v>
      </c>
      <c r="K5" s="16"/>
      <c r="L5" s="15" t="e">
        <f>VLOOKUP(K5,商品分類!$A$2:$B$81,2)</f>
        <v>#N/A</v>
      </c>
      <c r="M5" s="17" t="s">
        <v>2</v>
      </c>
      <c r="N5" s="16"/>
      <c r="O5" s="15" t="e">
        <f>VLOOKUP(N5,商品分類!$A$2:$B$81,2)</f>
        <v>#N/A</v>
      </c>
      <c r="P5" s="18" t="s">
        <v>2</v>
      </c>
      <c r="R5" s="62" t="s">
        <v>970</v>
      </c>
      <c r="S5" s="63"/>
      <c r="T5" s="63"/>
      <c r="U5" s="64"/>
    </row>
    <row r="6" spans="1:21" s="5" customFormat="1" ht="31.5" customHeight="1" thickBot="1" x14ac:dyDescent="0.2">
      <c r="A6" s="5">
        <v>1</v>
      </c>
      <c r="B6" s="20" t="str">
        <f>IFERROR(VLOOKUP(B$5&amp;TEXT($A6,"000"),商品!$B$1:$E$1846,1,FALSE),"")</f>
        <v>03001</v>
      </c>
      <c r="C6" s="41" t="str">
        <f>IFERROR(VLOOKUP(B6,商品!$B$1:$E$1846,2,FALSE),"")</f>
        <v>たらの牛だしあん</v>
      </c>
      <c r="D6" s="27"/>
      <c r="E6" s="20" t="str">
        <f>IFERROR(VLOOKUP(E$5&amp;TEXT($A6,"000"),商品!$B$1:$E$1846,1,FALSE),"")</f>
        <v/>
      </c>
      <c r="F6" s="20" t="str">
        <f>IFERROR(VLOOKUP(E6,商品!$B$1:$E$1846,2,FALSE),"")</f>
        <v/>
      </c>
      <c r="G6" s="27"/>
      <c r="H6" s="20" t="str">
        <f>IFERROR(VLOOKUP(H$5&amp;TEXT($A6,"000"),商品!$B$1:$E$1846,1,FALSE),"")</f>
        <v/>
      </c>
      <c r="I6" s="20" t="str">
        <f>IFERROR(VLOOKUP(H6,商品!$B$1:$E$1846,2,FALSE),"")</f>
        <v/>
      </c>
      <c r="J6" s="27"/>
      <c r="K6" s="20" t="str">
        <f>IFERROR(VLOOKUP(K$5&amp;TEXT($A6,"000"),商品!$B$1:$E$1846,1,FALSE),"")</f>
        <v/>
      </c>
      <c r="L6" s="20" t="str">
        <f>IFERROR(VLOOKUP(K6,商品!$B$1:$E$1846,2,FALSE),"")</f>
        <v/>
      </c>
      <c r="M6" s="27"/>
      <c r="N6" s="20" t="str">
        <f>IFERROR(VLOOKUP(N$5&amp;TEXT($A6,"000"),商品!$B$1:$E$1846,1,FALSE),"")</f>
        <v/>
      </c>
      <c r="O6" s="20" t="str">
        <f>IFERROR(VLOOKUP(N6,商品!$B$1:$E$1846,2,FALSE),"")</f>
        <v/>
      </c>
      <c r="P6" s="22"/>
      <c r="R6" s="65"/>
      <c r="S6" s="66"/>
      <c r="T6" s="66"/>
      <c r="U6" s="67"/>
    </row>
    <row r="7" spans="1:21" s="5" customFormat="1" ht="31.5" customHeight="1" x14ac:dyDescent="0.15">
      <c r="A7" s="5">
        <v>2</v>
      </c>
      <c r="B7" s="20" t="str">
        <f>IFERROR(VLOOKUP(B$5&amp;TEXT($A7,"000"),商品!$B$1:$E$1846,1,FALSE),"")</f>
        <v>03002</v>
      </c>
      <c r="C7" s="20" t="str">
        <f>IFERROR(VLOOKUP(B7,商品!$B$1:$E$1846,2,FALSE),"")</f>
        <v>豚バラ肉の豆乳ソースがけ</v>
      </c>
      <c r="D7" s="27">
        <v>4</v>
      </c>
      <c r="E7" s="20" t="str">
        <f>IFERROR(VLOOKUP(E$5&amp;TEXT($A7,"000"),商品!$B$1:$E$1846,1,FALSE),"")</f>
        <v/>
      </c>
      <c r="F7" s="20" t="str">
        <f>IFERROR(VLOOKUP(E7,商品!$B$1:$E$1846,2,FALSE),"")</f>
        <v/>
      </c>
      <c r="G7" s="27"/>
      <c r="H7" s="20" t="str">
        <f>IFERROR(VLOOKUP(H$5&amp;TEXT($A7,"000"),商品!$B$1:$E$1846,1,FALSE),"")</f>
        <v/>
      </c>
      <c r="I7" s="20" t="str">
        <f>IFERROR(VLOOKUP(H7,商品!$B$1:$E$1846,2,FALSE),"")</f>
        <v/>
      </c>
      <c r="J7" s="27"/>
      <c r="K7" s="20" t="str">
        <f>IFERROR(VLOOKUP(K$5&amp;TEXT($A7,"000"),商品!$B$1:$E$1846,1,FALSE),"")</f>
        <v/>
      </c>
      <c r="L7" s="20" t="str">
        <f>IFERROR(VLOOKUP(K7,商品!$B$1:$E$1846,2,FALSE),"")</f>
        <v/>
      </c>
      <c r="M7" s="27"/>
      <c r="N7" s="20" t="str">
        <f>IFERROR(VLOOKUP(N$5&amp;TEXT($A7,"000"),商品!$B$1:$E$1846,1,FALSE),"")</f>
        <v/>
      </c>
      <c r="O7" s="20" t="str">
        <f>IFERROR(VLOOKUP(N7,商品!$B$1:$E$1846,2,FALSE),"")</f>
        <v/>
      </c>
      <c r="P7" s="22"/>
      <c r="R7" s="68">
        <v>72</v>
      </c>
      <c r="S7" s="69"/>
      <c r="T7" s="69"/>
      <c r="U7" s="70"/>
    </row>
    <row r="8" spans="1:21" s="5" customFormat="1" ht="31.5" customHeight="1" x14ac:dyDescent="0.15">
      <c r="A8" s="5">
        <v>3</v>
      </c>
      <c r="B8" s="20" t="str">
        <f>IFERROR(VLOOKUP(B$5&amp;TEXT($A8,"000"),商品!$B$1:$E$1846,1,FALSE),"")</f>
        <v>03003</v>
      </c>
      <c r="C8" s="20" t="str">
        <f>IFERROR(VLOOKUP(B8,商品!$B$1:$E$1846,2,FALSE),"")</f>
        <v>エビカツ</v>
      </c>
      <c r="D8" s="28">
        <v>4</v>
      </c>
      <c r="E8" s="20" t="str">
        <f>IFERROR(VLOOKUP(E$5&amp;TEXT($A8,"000"),商品!$B$1:$E$1846,1,FALSE),"")</f>
        <v/>
      </c>
      <c r="F8" s="20" t="str">
        <f>IFERROR(VLOOKUP(E8,商品!$B$1:$E$1846,2,FALSE),"")</f>
        <v/>
      </c>
      <c r="G8" s="28"/>
      <c r="H8" s="20" t="str">
        <f>IFERROR(VLOOKUP(H$5&amp;TEXT($A8,"000"),商品!$B$1:$E$1846,1,FALSE),"")</f>
        <v/>
      </c>
      <c r="I8" s="20" t="str">
        <f>IFERROR(VLOOKUP(H8,商品!$B$1:$E$1846,2,FALSE),"")</f>
        <v/>
      </c>
      <c r="J8" s="28"/>
      <c r="K8" s="20" t="str">
        <f>IFERROR(VLOOKUP(K$5&amp;TEXT($A8,"000"),商品!$B$1:$E$1846,1,FALSE),"")</f>
        <v/>
      </c>
      <c r="L8" s="20" t="str">
        <f>IFERROR(VLOOKUP(K8,商品!$B$1:$E$1846,2,FALSE),"")</f>
        <v/>
      </c>
      <c r="M8" s="28"/>
      <c r="N8" s="20" t="str">
        <f>IFERROR(VLOOKUP(N$5&amp;TEXT($A8,"000"),商品!$B$1:$E$1846,1,FALSE),"")</f>
        <v/>
      </c>
      <c r="O8" s="20" t="str">
        <f>IFERROR(VLOOKUP(N8,商品!$B$1:$E$1846,2,FALSE),"")</f>
        <v/>
      </c>
      <c r="P8" s="23"/>
      <c r="R8" s="68"/>
      <c r="S8" s="69"/>
      <c r="T8" s="69"/>
      <c r="U8" s="70"/>
    </row>
    <row r="9" spans="1:21" s="5" customFormat="1" ht="31.5" customHeight="1" thickBot="1" x14ac:dyDescent="0.2">
      <c r="A9" s="5">
        <v>4</v>
      </c>
      <c r="B9" s="20" t="str">
        <f>IFERROR(VLOOKUP(B$5&amp;TEXT($A9,"000"),商品!$B$1:$E$1846,1,FALSE),"")</f>
        <v>03004</v>
      </c>
      <c r="C9" s="20" t="str">
        <f>IFERROR(VLOOKUP(B9,商品!$B$1:$E$1846,2,FALSE),"")</f>
        <v>鶏のから揚げ</v>
      </c>
      <c r="D9" s="29">
        <v>4</v>
      </c>
      <c r="E9" s="20" t="str">
        <f>IFERROR(VLOOKUP(E$5&amp;TEXT($A9,"000"),商品!$B$1:$E$1846,1,FALSE),"")</f>
        <v/>
      </c>
      <c r="F9" s="20" t="str">
        <f>IFERROR(VLOOKUP(E9,商品!$B$1:$E$1846,2,FALSE),"")</f>
        <v/>
      </c>
      <c r="G9" s="29"/>
      <c r="H9" s="20" t="str">
        <f>IFERROR(VLOOKUP(H$5&amp;TEXT($A9,"000"),商品!$B$1:$E$1846,1,FALSE),"")</f>
        <v/>
      </c>
      <c r="I9" s="20" t="str">
        <f>IFERROR(VLOOKUP(H9,商品!$B$1:$E$1846,2,FALSE),"")</f>
        <v/>
      </c>
      <c r="J9" s="29"/>
      <c r="K9" s="20" t="str">
        <f>IFERROR(VLOOKUP(K$5&amp;TEXT($A9,"000"),商品!$B$1:$E$1846,1,FALSE),"")</f>
        <v/>
      </c>
      <c r="L9" s="20" t="str">
        <f>IFERROR(VLOOKUP(K9,商品!$B$1:$E$1846,2,FALSE),"")</f>
        <v/>
      </c>
      <c r="M9" s="29"/>
      <c r="N9" s="20" t="str">
        <f>IFERROR(VLOOKUP(N$5&amp;TEXT($A9,"000"),商品!$B$1:$E$1846,1,FALSE),"")</f>
        <v/>
      </c>
      <c r="O9" s="20" t="str">
        <f>IFERROR(VLOOKUP(N9,商品!$B$1:$E$1846,2,FALSE),"")</f>
        <v/>
      </c>
      <c r="P9" s="24"/>
      <c r="R9" s="71"/>
      <c r="S9" s="72"/>
      <c r="T9" s="72"/>
      <c r="U9" s="73"/>
    </row>
    <row r="10" spans="1:21" s="5" customFormat="1" ht="31.5" customHeight="1" x14ac:dyDescent="0.15">
      <c r="A10" s="5">
        <v>5</v>
      </c>
      <c r="B10" s="20" t="str">
        <f>IFERROR(VLOOKUP(B$5&amp;TEXT($A10,"000"),商品!$B$1:$E$1846,1,FALSE),"")</f>
        <v>03005</v>
      </c>
      <c r="C10" s="20" t="str">
        <f>IFERROR(VLOOKUP(B10,商品!$B$1:$E$1846,2,FALSE),"")</f>
        <v>すき焼き風煮</v>
      </c>
      <c r="D10" s="27">
        <v>8</v>
      </c>
      <c r="E10" s="20" t="str">
        <f>IFERROR(VLOOKUP(E$5&amp;TEXT($A10,"000"),商品!$B$1:$E$1846,1,FALSE),"")</f>
        <v/>
      </c>
      <c r="F10" s="20" t="str">
        <f>IFERROR(VLOOKUP(E10,商品!$B$1:$E$1846,2,FALSE),"")</f>
        <v/>
      </c>
      <c r="G10" s="27"/>
      <c r="H10" s="20" t="str">
        <f>IFERROR(VLOOKUP(H$5&amp;TEXT($A10,"000"),商品!$B$1:$E$1846,1,FALSE),"")</f>
        <v/>
      </c>
      <c r="I10" s="20" t="str">
        <f>IFERROR(VLOOKUP(H10,商品!$B$1:$E$1846,2,FALSE),"")</f>
        <v/>
      </c>
      <c r="J10" s="27"/>
      <c r="K10" s="20" t="str">
        <f>IFERROR(VLOOKUP(K$5&amp;TEXT($A10,"000"),商品!$B$1:$E$1846,1,FALSE),"")</f>
        <v/>
      </c>
      <c r="L10" s="20" t="str">
        <f>IFERROR(VLOOKUP(K10,商品!$B$1:$E$1846,2,FALSE),"")</f>
        <v/>
      </c>
      <c r="M10" s="27"/>
      <c r="N10" s="20" t="str">
        <f>IFERROR(VLOOKUP(N$5&amp;TEXT($A10,"000"),商品!$B$1:$E$1846,1,FALSE),"")</f>
        <v/>
      </c>
      <c r="O10" s="20" t="str">
        <f>IFERROR(VLOOKUP(N10,商品!$B$1:$E$1846,2,FALSE),"")</f>
        <v/>
      </c>
      <c r="P10" s="22"/>
      <c r="R10" s="62" t="s">
        <v>19</v>
      </c>
      <c r="S10" s="63"/>
      <c r="T10" s="63"/>
      <c r="U10" s="64"/>
    </row>
    <row r="11" spans="1:21" s="5" customFormat="1" ht="31.5" customHeight="1" thickBot="1" x14ac:dyDescent="0.2">
      <c r="A11" s="5">
        <v>6</v>
      </c>
      <c r="B11" s="20" t="str">
        <f>IFERROR(VLOOKUP(B$5&amp;TEXT($A11,"000"),商品!$B$1:$E$1846,1,FALSE),"")</f>
        <v>03006</v>
      </c>
      <c r="C11" s="20" t="str">
        <f>IFERROR(VLOOKUP(B11,商品!$B$1:$E$1846,2,FALSE),"")</f>
        <v>鶏肉のタンドリー風焼き</v>
      </c>
      <c r="D11" s="30">
        <v>4</v>
      </c>
      <c r="E11" s="20" t="str">
        <f>IFERROR(VLOOKUP(E$5&amp;TEXT($A11,"000"),商品!$B$1:$E$1846,1,FALSE),"")</f>
        <v/>
      </c>
      <c r="F11" s="20" t="str">
        <f>IFERROR(VLOOKUP(E11,商品!$B$1:$E$1846,2,FALSE),"")</f>
        <v/>
      </c>
      <c r="G11" s="30"/>
      <c r="H11" s="20" t="str">
        <f>IFERROR(VLOOKUP(H$5&amp;TEXT($A11,"000"),商品!$B$1:$E$1846,1,FALSE),"")</f>
        <v/>
      </c>
      <c r="I11" s="20" t="str">
        <f>IFERROR(VLOOKUP(H11,商品!$B$1:$E$1846,2,FALSE),"")</f>
        <v/>
      </c>
      <c r="J11" s="30"/>
      <c r="K11" s="20" t="str">
        <f>IFERROR(VLOOKUP(K$5&amp;TEXT($A11,"000"),商品!$B$1:$E$1846,1,FALSE),"")</f>
        <v/>
      </c>
      <c r="L11" s="20" t="str">
        <f>IFERROR(VLOOKUP(K11,商品!$B$1:$E$1846,2,FALSE),"")</f>
        <v/>
      </c>
      <c r="M11" s="30"/>
      <c r="N11" s="20" t="str">
        <f>IFERROR(VLOOKUP(N$5&amp;TEXT($A11,"000"),商品!$B$1:$E$1846,1,FALSE),"")</f>
        <v/>
      </c>
      <c r="O11" s="20" t="str">
        <f>IFERROR(VLOOKUP(N11,商品!$B$1:$E$1846,2,FALSE),"")</f>
        <v/>
      </c>
      <c r="P11" s="25"/>
      <c r="R11" s="65"/>
      <c r="S11" s="66"/>
      <c r="T11" s="66"/>
      <c r="U11" s="67"/>
    </row>
    <row r="12" spans="1:21" s="5" customFormat="1" ht="31.5" customHeight="1" x14ac:dyDescent="0.15">
      <c r="A12" s="5">
        <v>7</v>
      </c>
      <c r="B12" s="20" t="str">
        <f>IFERROR(VLOOKUP(B$5&amp;TEXT($A12,"000"),商品!$B$1:$E$1846,1,FALSE),"")</f>
        <v>03007</v>
      </c>
      <c r="C12" s="20" t="str">
        <f>IFERROR(VLOOKUP(B12,商品!$B$1:$E$1846,2,FALSE),"")</f>
        <v>トマトソースのチーズハンバーグ</v>
      </c>
      <c r="D12" s="27">
        <v>4</v>
      </c>
      <c r="E12" s="20" t="str">
        <f>IFERROR(VLOOKUP(E$5&amp;TEXT($A12,"000"),商品!$B$1:$E$1846,1,FALSE),"")</f>
        <v/>
      </c>
      <c r="F12" s="20" t="str">
        <f>IFERROR(VLOOKUP(E12,商品!$B$1:$E$1846,2,FALSE),"")</f>
        <v/>
      </c>
      <c r="G12" s="27"/>
      <c r="H12" s="20" t="str">
        <f>IFERROR(VLOOKUP(H$5&amp;TEXT($A12,"000"),商品!$B$1:$E$1846,1,FALSE),"")</f>
        <v/>
      </c>
      <c r="I12" s="20" t="str">
        <f>IFERROR(VLOOKUP(H12,商品!$B$1:$E$1846,2,FALSE),"")</f>
        <v/>
      </c>
      <c r="J12" s="27"/>
      <c r="K12" s="20" t="str">
        <f>IFERROR(VLOOKUP(K$5&amp;TEXT($A12,"000"),商品!$B$1:$E$1846,1,FALSE),"")</f>
        <v/>
      </c>
      <c r="L12" s="20" t="str">
        <f>IFERROR(VLOOKUP(K12,商品!$B$1:$E$1846,2,FALSE),"")</f>
        <v/>
      </c>
      <c r="M12" s="27"/>
      <c r="N12" s="20" t="str">
        <f>IFERROR(VLOOKUP(N$5&amp;TEXT($A12,"000"),商品!$B$1:$E$1846,1,FALSE),"")</f>
        <v/>
      </c>
      <c r="O12" s="20" t="str">
        <f>IFERROR(VLOOKUP(N12,商品!$B$1:$E$1846,2,FALSE),"")</f>
        <v/>
      </c>
      <c r="P12" s="22"/>
      <c r="R12" s="68"/>
      <c r="S12" s="69"/>
      <c r="T12" s="69"/>
      <c r="U12" s="70"/>
    </row>
    <row r="13" spans="1:21" s="5" customFormat="1" ht="31.5" customHeight="1" x14ac:dyDescent="0.15">
      <c r="A13" s="5">
        <v>8</v>
      </c>
      <c r="B13" s="20" t="str">
        <f>IFERROR(VLOOKUP(B$5&amp;TEXT($A13,"000"),商品!$B$1:$E$1846,1,FALSE),"")</f>
        <v>03008</v>
      </c>
      <c r="C13" s="41" t="str">
        <f>IFERROR(VLOOKUP(B13,商品!$B$1:$E$1846,2,FALSE),"")</f>
        <v>カレイのねぎ塩焼き</v>
      </c>
      <c r="D13" s="27"/>
      <c r="E13" s="20" t="str">
        <f>IFERROR(VLOOKUP(E$5&amp;TEXT($A13,"000"),商品!$B$1:$E$1846,1,FALSE),"")</f>
        <v/>
      </c>
      <c r="F13" s="20" t="str">
        <f>IFERROR(VLOOKUP(E13,商品!$B$1:$E$1846,2,FALSE),"")</f>
        <v/>
      </c>
      <c r="G13" s="27"/>
      <c r="H13" s="20" t="str">
        <f>IFERROR(VLOOKUP(H$5&amp;TEXT($A13,"000"),商品!$B$1:$E$1846,1,FALSE),"")</f>
        <v/>
      </c>
      <c r="I13" s="20" t="str">
        <f>IFERROR(VLOOKUP(H13,商品!$B$1:$E$1846,2,FALSE),"")</f>
        <v/>
      </c>
      <c r="J13" s="27"/>
      <c r="K13" s="20" t="str">
        <f>IFERROR(VLOOKUP(K$5&amp;TEXT($A13,"000"),商品!$B$1:$E$1846,1,FALSE),"")</f>
        <v/>
      </c>
      <c r="L13" s="20" t="str">
        <f>IFERROR(VLOOKUP(K13,商品!$B$1:$E$1846,2,FALSE),"")</f>
        <v/>
      </c>
      <c r="M13" s="27"/>
      <c r="N13" s="20" t="str">
        <f>IFERROR(VLOOKUP(N$5&amp;TEXT($A13,"000"),商品!$B$1:$E$1846,1,FALSE),"")</f>
        <v/>
      </c>
      <c r="O13" s="20" t="str">
        <f>IFERROR(VLOOKUP(N13,商品!$B$1:$E$1846,2,FALSE),"")</f>
        <v/>
      </c>
      <c r="P13" s="22"/>
      <c r="R13" s="68"/>
      <c r="S13" s="69"/>
      <c r="T13" s="69"/>
      <c r="U13" s="70"/>
    </row>
    <row r="14" spans="1:21" s="5" customFormat="1" ht="31.5" customHeight="1" thickBot="1" x14ac:dyDescent="0.2">
      <c r="A14" s="5">
        <v>9</v>
      </c>
      <c r="B14" s="20" t="str">
        <f>IFERROR(VLOOKUP(B$5&amp;TEXT($A14,"000"),商品!$B$1:$E$1846,1,FALSE),"")</f>
        <v>03009</v>
      </c>
      <c r="C14" s="41" t="str">
        <f>IFERROR(VLOOKUP(B14,商品!$B$1:$E$1846,2,FALSE),"")</f>
        <v>タラのみぞれかけ</v>
      </c>
      <c r="D14" s="31"/>
      <c r="E14" s="20" t="str">
        <f>IFERROR(VLOOKUP(E$5&amp;TEXT($A14,"000"),商品!$B$1:$E$1846,1,FALSE),"")</f>
        <v/>
      </c>
      <c r="F14" s="20" t="str">
        <f>IFERROR(VLOOKUP(E14,商品!$B$1:$E$1846,2,FALSE),"")</f>
        <v/>
      </c>
      <c r="G14" s="31"/>
      <c r="H14" s="20" t="str">
        <f>IFERROR(VLOOKUP(H$5&amp;TEXT($A14,"000"),商品!$B$1:$E$1846,1,FALSE),"")</f>
        <v/>
      </c>
      <c r="I14" s="20" t="str">
        <f>IFERROR(VLOOKUP(H14,商品!$B$1:$E$1846,2,FALSE),"")</f>
        <v/>
      </c>
      <c r="J14" s="31"/>
      <c r="K14" s="20" t="str">
        <f>IFERROR(VLOOKUP(K$5&amp;TEXT($A14,"000"),商品!$B$1:$E$1846,1,FALSE),"")</f>
        <v/>
      </c>
      <c r="L14" s="20" t="str">
        <f>IFERROR(VLOOKUP(K14,商品!$B$1:$E$1846,2,FALSE),"")</f>
        <v/>
      </c>
      <c r="M14" s="31"/>
      <c r="N14" s="20" t="str">
        <f>IFERROR(VLOOKUP(N$5&amp;TEXT($A14,"000"),商品!$B$1:$E$1846,1,FALSE),"")</f>
        <v/>
      </c>
      <c r="O14" s="20" t="str">
        <f>IFERROR(VLOOKUP(N14,商品!$B$1:$E$1846,2,FALSE),"")</f>
        <v/>
      </c>
      <c r="P14" s="26"/>
      <c r="R14" s="71"/>
      <c r="S14" s="72"/>
      <c r="T14" s="72"/>
      <c r="U14" s="73"/>
    </row>
    <row r="15" spans="1:21" s="5" customFormat="1" ht="31.5" customHeight="1" x14ac:dyDescent="0.15">
      <c r="A15" s="5">
        <v>10</v>
      </c>
      <c r="B15" s="20" t="str">
        <f>IFERROR(VLOOKUP(B$5&amp;TEXT($A15,"000"),商品!$B$1:$E$1846,1,FALSE),"")</f>
        <v>03010</v>
      </c>
      <c r="C15" s="41" t="str">
        <f>IFERROR(VLOOKUP(B15,商品!$B$1:$E$1846,2,FALSE),"")</f>
        <v>和風カツの卵とじ</v>
      </c>
      <c r="D15" s="27"/>
      <c r="E15" s="20" t="str">
        <f>IFERROR(VLOOKUP(E$5&amp;TEXT($A15,"000"),商品!$B$1:$E$1846,1,FALSE),"")</f>
        <v/>
      </c>
      <c r="F15" s="20" t="str">
        <f>IFERROR(VLOOKUP(E15,商品!$B$1:$E$1846,2,FALSE),"")</f>
        <v/>
      </c>
      <c r="G15" s="27"/>
      <c r="H15" s="20" t="str">
        <f>IFERROR(VLOOKUP(H$5&amp;TEXT($A15,"000"),商品!$B$1:$E$1846,1,FALSE),"")</f>
        <v/>
      </c>
      <c r="I15" s="20" t="str">
        <f>IFERROR(VLOOKUP(H15,商品!$B$1:$E$1846,2,FALSE),"")</f>
        <v/>
      </c>
      <c r="J15" s="27"/>
      <c r="K15" s="20" t="str">
        <f>IFERROR(VLOOKUP(K$5&amp;TEXT($A15,"000"),商品!$B$1:$E$1846,1,FALSE),"")</f>
        <v/>
      </c>
      <c r="L15" s="20" t="str">
        <f>IFERROR(VLOOKUP(K15,商品!$B$1:$E$1846,2,FALSE),"")</f>
        <v/>
      </c>
      <c r="M15" s="27"/>
      <c r="N15" s="20" t="str">
        <f>IFERROR(VLOOKUP(N$5&amp;TEXT($A15,"000"),商品!$B$1:$E$1846,1,FALSE),"")</f>
        <v/>
      </c>
      <c r="O15" s="20" t="str">
        <f>IFERROR(VLOOKUP(N15,商品!$B$1:$E$1846,2,FALSE),"")</f>
        <v/>
      </c>
      <c r="P15" s="22"/>
      <c r="R15" s="62"/>
      <c r="S15" s="63"/>
      <c r="T15" s="63"/>
      <c r="U15" s="64"/>
    </row>
    <row r="16" spans="1:21" s="5" customFormat="1" ht="31.5" customHeight="1" thickBot="1" x14ac:dyDescent="0.2">
      <c r="A16" s="5">
        <v>11</v>
      </c>
      <c r="B16" s="20" t="str">
        <f>IFERROR(VLOOKUP(B$5&amp;TEXT($A16,"000"),商品!$B$1:$E$1846,1,FALSE),"")</f>
        <v>03011</v>
      </c>
      <c r="C16" s="41" t="str">
        <f>IFERROR(VLOOKUP(B16,商品!$B$1:$E$1846,2,FALSE),"")</f>
        <v>みそカツ</v>
      </c>
      <c r="D16" s="27"/>
      <c r="E16" s="20" t="str">
        <f>IFERROR(VLOOKUP(E$5&amp;TEXT($A16,"000"),商品!$B$1:$E$1846,1,FALSE),"")</f>
        <v/>
      </c>
      <c r="F16" s="20" t="str">
        <f>IFERROR(VLOOKUP(E16,商品!$B$1:$E$1846,2,FALSE),"")</f>
        <v/>
      </c>
      <c r="G16" s="27"/>
      <c r="H16" s="20" t="str">
        <f>IFERROR(VLOOKUP(H$5&amp;TEXT($A16,"000"),商品!$B$1:$E$1846,1,FALSE),"")</f>
        <v/>
      </c>
      <c r="I16" s="20" t="str">
        <f>IFERROR(VLOOKUP(H16,商品!$B$1:$E$1846,2,FALSE),"")</f>
        <v/>
      </c>
      <c r="J16" s="27"/>
      <c r="K16" s="20" t="str">
        <f>IFERROR(VLOOKUP(K$5&amp;TEXT($A16,"000"),商品!$B$1:$E$1846,1,FALSE),"")</f>
        <v/>
      </c>
      <c r="L16" s="20" t="str">
        <f>IFERROR(VLOOKUP(K16,商品!$B$1:$E$1846,2,FALSE),"")</f>
        <v/>
      </c>
      <c r="M16" s="27"/>
      <c r="N16" s="20" t="str">
        <f>IFERROR(VLOOKUP(N$5&amp;TEXT($A16,"000"),商品!$B$1:$E$1846,1,FALSE),"")</f>
        <v/>
      </c>
      <c r="O16" s="20" t="str">
        <f>IFERROR(VLOOKUP(N16,商品!$B$1:$E$1846,2,FALSE),"")</f>
        <v/>
      </c>
      <c r="P16" s="22"/>
      <c r="R16" s="65"/>
      <c r="S16" s="66"/>
      <c r="T16" s="66"/>
      <c r="U16" s="67"/>
    </row>
    <row r="17" spans="1:21" s="5" customFormat="1" ht="31.5" customHeight="1" x14ac:dyDescent="0.15">
      <c r="A17" s="5">
        <v>12</v>
      </c>
      <c r="B17" s="20" t="str">
        <f>IFERROR(VLOOKUP(B$5&amp;TEXT($A17,"000"),商品!$B$1:$E$1846,1,FALSE),"")</f>
        <v>03012</v>
      </c>
      <c r="C17" s="41" t="str">
        <f>IFERROR(VLOOKUP(B17,商品!$B$1:$E$1846,2,FALSE),"")</f>
        <v>豚肉のタッカルビ風</v>
      </c>
      <c r="D17" s="27"/>
      <c r="E17" s="20" t="str">
        <f>IFERROR(VLOOKUP(E$5&amp;TEXT($A17,"000"),商品!$B$1:$E$1846,1,FALSE),"")</f>
        <v/>
      </c>
      <c r="F17" s="20" t="str">
        <f>IFERROR(VLOOKUP(E17,商品!$B$1:$E$1846,2,FALSE),"")</f>
        <v/>
      </c>
      <c r="G17" s="27"/>
      <c r="H17" s="20" t="str">
        <f>IFERROR(VLOOKUP(H$5&amp;TEXT($A17,"000"),商品!$B$1:$E$1846,1,FALSE),"")</f>
        <v/>
      </c>
      <c r="I17" s="20" t="str">
        <f>IFERROR(VLOOKUP(H17,商品!$B$1:$E$1846,2,FALSE),"")</f>
        <v/>
      </c>
      <c r="J17" s="27"/>
      <c r="K17" s="20" t="str">
        <f>IFERROR(VLOOKUP(K$5&amp;TEXT($A17,"000"),商品!$B$1:$E$1846,1,FALSE),"")</f>
        <v/>
      </c>
      <c r="L17" s="20" t="str">
        <f>IFERROR(VLOOKUP(K17,商品!$B$1:$E$1846,2,FALSE),"")</f>
        <v/>
      </c>
      <c r="M17" s="27"/>
      <c r="N17" s="20" t="str">
        <f>IFERROR(VLOOKUP(N$5&amp;TEXT($A17,"000"),商品!$B$1:$E$1846,1,FALSE),"")</f>
        <v/>
      </c>
      <c r="O17" s="20" t="str">
        <f>IFERROR(VLOOKUP(N17,商品!$B$1:$E$1846,2,FALSE),"")</f>
        <v/>
      </c>
      <c r="P17" s="22"/>
      <c r="R17" s="68"/>
      <c r="S17" s="69"/>
      <c r="T17" s="69"/>
      <c r="U17" s="70"/>
    </row>
    <row r="18" spans="1:21" s="5" customFormat="1" ht="31.5" customHeight="1" x14ac:dyDescent="0.15">
      <c r="A18" s="5">
        <v>13</v>
      </c>
      <c r="B18" s="20" t="str">
        <f>IFERROR(VLOOKUP(B$5&amp;TEXT($A18,"000"),商品!$B$1:$E$1846,1,FALSE),"")</f>
        <v>03013</v>
      </c>
      <c r="C18" s="41" t="str">
        <f>IFERROR(VLOOKUP(B18,商品!$B$1:$E$1846,2,FALSE),"")</f>
        <v>焼きサバの梅ソースがけ</v>
      </c>
      <c r="D18" s="27"/>
      <c r="E18" s="20" t="str">
        <f>IFERROR(VLOOKUP(E$5&amp;TEXT($A18,"000"),商品!$B$1:$E$1846,1,FALSE),"")</f>
        <v/>
      </c>
      <c r="F18" s="20" t="str">
        <f>IFERROR(VLOOKUP(E18,商品!$B$1:$E$1846,2,FALSE),"")</f>
        <v/>
      </c>
      <c r="G18" s="27"/>
      <c r="H18" s="20" t="str">
        <f>IFERROR(VLOOKUP(H$5&amp;TEXT($A18,"000"),商品!$B$1:$E$1846,1,FALSE),"")</f>
        <v/>
      </c>
      <c r="I18" s="20" t="str">
        <f>IFERROR(VLOOKUP(H18,商品!$B$1:$E$1846,2,FALSE),"")</f>
        <v/>
      </c>
      <c r="J18" s="27"/>
      <c r="K18" s="20" t="str">
        <f>IFERROR(VLOOKUP(K$5&amp;TEXT($A18,"000"),商品!$B$1:$E$1846,1,FALSE),"")</f>
        <v/>
      </c>
      <c r="L18" s="20" t="str">
        <f>IFERROR(VLOOKUP(K18,商品!$B$1:$E$1846,2,FALSE),"")</f>
        <v/>
      </c>
      <c r="M18" s="27"/>
      <c r="N18" s="20" t="str">
        <f>IFERROR(VLOOKUP(N$5&amp;TEXT($A18,"000"),商品!$B$1:$E$1846,1,FALSE),"")</f>
        <v/>
      </c>
      <c r="O18" s="20" t="str">
        <f>IFERROR(VLOOKUP(N18,商品!$B$1:$E$1846,2,FALSE),"")</f>
        <v/>
      </c>
      <c r="P18" s="22"/>
      <c r="R18" s="68"/>
      <c r="S18" s="69"/>
      <c r="T18" s="69"/>
      <c r="U18" s="70"/>
    </row>
    <row r="19" spans="1:21" s="5" customFormat="1" ht="31.5" customHeight="1" thickBot="1" x14ac:dyDescent="0.2">
      <c r="A19" s="5">
        <v>14</v>
      </c>
      <c r="B19" s="20" t="str">
        <f>IFERROR(VLOOKUP(B$5&amp;TEXT($A19,"000"),商品!$B$1:$E$1846,1,FALSE),"")</f>
        <v>03014</v>
      </c>
      <c r="C19" s="41" t="str">
        <f>IFERROR(VLOOKUP(B19,商品!$B$1:$E$1846,2,FALSE),"")</f>
        <v>赤魚の紅生姜あんかけ</v>
      </c>
      <c r="D19" s="24"/>
      <c r="E19" s="20" t="str">
        <f>IFERROR(VLOOKUP(E$5&amp;TEXT($A19,"000"),商品!$B$1:$E$1846,1,FALSE),"")</f>
        <v/>
      </c>
      <c r="F19" s="20" t="str">
        <f>IFERROR(VLOOKUP(E19,商品!$B$1:$E$1846,2,FALSE),"")</f>
        <v/>
      </c>
      <c r="G19" s="24"/>
      <c r="H19" s="20" t="str">
        <f>IFERROR(VLOOKUP(H$5&amp;TEXT($A19,"000"),商品!$B$1:$E$1846,1,FALSE),"")</f>
        <v/>
      </c>
      <c r="I19" s="20" t="str">
        <f>IFERROR(VLOOKUP(H19,商品!$B$1:$E$1846,2,FALSE),"")</f>
        <v/>
      </c>
      <c r="J19" s="24"/>
      <c r="K19" s="20" t="str">
        <f>IFERROR(VLOOKUP(K$5&amp;TEXT($A19,"000"),商品!$B$1:$E$1846,1,FALSE),"")</f>
        <v/>
      </c>
      <c r="L19" s="20" t="str">
        <f>IFERROR(VLOOKUP(K19,商品!$B$1:$E$1846,2,FALSE),"")</f>
        <v/>
      </c>
      <c r="M19" s="24"/>
      <c r="N19" s="20" t="str">
        <f>IFERROR(VLOOKUP(N$5&amp;TEXT($A19,"000"),商品!$B$1:$E$1846,1,FALSE),"")</f>
        <v/>
      </c>
      <c r="O19" s="20" t="str">
        <f>IFERROR(VLOOKUP(N19,商品!$B$1:$E$1846,2,FALSE),"")</f>
        <v/>
      </c>
      <c r="P19" s="24"/>
      <c r="R19" s="71"/>
      <c r="S19" s="72"/>
      <c r="T19" s="72"/>
      <c r="U19" s="73"/>
    </row>
    <row r="20" spans="1:21" s="5" customFormat="1" ht="31.5" hidden="1" customHeight="1" x14ac:dyDescent="0.15">
      <c r="A20" s="5">
        <v>15</v>
      </c>
      <c r="B20" s="20" t="str">
        <f>IFERROR(VLOOKUP(B$5&amp;TEXT($A20,"000"),商品!$B$1:$E$1846,1,FALSE),"")</f>
        <v>03015</v>
      </c>
      <c r="C20" s="20" t="str">
        <f>IFERROR(VLOOKUP(B20,商品!$B$1:$E$1846,2,FALSE),"")</f>
        <v>豆腐ハンバーグ麻婆ソース</v>
      </c>
      <c r="D20" s="24"/>
      <c r="E20" s="20" t="str">
        <f>IFERROR(VLOOKUP(E$5&amp;TEXT($A20,"000"),商品!$B$1:$E$1846,1,FALSE),"")</f>
        <v/>
      </c>
      <c r="F20" s="41" t="str">
        <f>IFERROR(VLOOKUP(E20,商品!$B$1:$E$1846,2,FALSE),"")</f>
        <v/>
      </c>
      <c r="G20" s="24"/>
      <c r="H20" s="20" t="str">
        <f>IFERROR(VLOOKUP(H$5&amp;TEXT($A20,"000"),商品!$B$1:$E$1846,1,FALSE),"")</f>
        <v/>
      </c>
      <c r="I20" s="20" t="str">
        <f>IFERROR(VLOOKUP(H20,商品!$B$1:$E$1846,2,FALSE),"")</f>
        <v/>
      </c>
      <c r="J20" s="24"/>
      <c r="K20" s="20" t="str">
        <f>IFERROR(VLOOKUP(K$5&amp;TEXT($A20,"000"),商品!$B$1:$E$1846,1,FALSE),"")</f>
        <v/>
      </c>
      <c r="L20" s="20" t="str">
        <f>IFERROR(VLOOKUP(K20,商品!$B$1:$E$1846,2,FALSE),"")</f>
        <v/>
      </c>
      <c r="M20" s="24"/>
      <c r="N20" s="20" t="str">
        <f>IFERROR(VLOOKUP(N$5&amp;TEXT($A20,"000"),商品!$B$1:$E$1846,1,FALSE),"")</f>
        <v/>
      </c>
      <c r="O20" s="20" t="str">
        <f>IFERROR(VLOOKUP(N20,商品!$B$1:$E$1846,2,FALSE),"")</f>
        <v/>
      </c>
      <c r="P20" s="24"/>
    </row>
    <row r="21" spans="1:21" s="5" customFormat="1" ht="31.5" customHeight="1" x14ac:dyDescent="0.15">
      <c r="A21" s="5">
        <v>16</v>
      </c>
      <c r="B21" s="20" t="str">
        <f>IFERROR(VLOOKUP(B$5&amp;TEXT($A21,"000"),商品!$B$1:$E$1846,1,FALSE),"")</f>
        <v>03016</v>
      </c>
      <c r="C21" s="20" t="str">
        <f>IFERROR(VLOOKUP(B21,商品!$B$1:$E$1846,2,FALSE),"")</f>
        <v>カレイのバターポン酢きのこあん</v>
      </c>
      <c r="D21" s="24">
        <v>8</v>
      </c>
      <c r="E21" s="20" t="str">
        <f>IFERROR(VLOOKUP(E$5&amp;TEXT($A21,"000"),商品!$B$1:$E$1846,1,FALSE),"")</f>
        <v/>
      </c>
      <c r="F21" s="41" t="str">
        <f>IFERROR(VLOOKUP(E21,商品!$B$1:$E$1846,2,FALSE),"")</f>
        <v/>
      </c>
      <c r="G21" s="24"/>
      <c r="H21" s="20" t="str">
        <f>IFERROR(VLOOKUP(H$5&amp;TEXT($A21,"000"),商品!$B$1:$E$1846,1,FALSE),"")</f>
        <v/>
      </c>
      <c r="I21" s="20" t="str">
        <f>IFERROR(VLOOKUP(H21,商品!$B$1:$E$1846,2,FALSE),"")</f>
        <v/>
      </c>
      <c r="J21" s="24"/>
      <c r="K21" s="20" t="str">
        <f>IFERROR(VLOOKUP(K$5&amp;TEXT($A21,"000"),商品!$B$1:$E$1846,1,FALSE),"")</f>
        <v/>
      </c>
      <c r="L21" s="20" t="str">
        <f>IFERROR(VLOOKUP(K21,商品!$B$1:$E$1846,2,FALSE),"")</f>
        <v/>
      </c>
      <c r="M21" s="24"/>
      <c r="N21" s="20" t="str">
        <f>IFERROR(VLOOKUP(N$5&amp;TEXT($A21,"000"),商品!$B$1:$E$1846,1,FALSE),"")</f>
        <v/>
      </c>
      <c r="O21" s="20" t="str">
        <f>IFERROR(VLOOKUP(N21,商品!$B$1:$E$1846,2,FALSE),"")</f>
        <v/>
      </c>
      <c r="P21" s="24"/>
    </row>
    <row r="22" spans="1:21" s="5" customFormat="1" ht="31.5" hidden="1" customHeight="1" x14ac:dyDescent="0.15">
      <c r="A22" s="5">
        <v>17</v>
      </c>
      <c r="B22" s="20" t="str">
        <f>IFERROR(VLOOKUP(B$5&amp;TEXT($A22,"000"),商品!$B$1:$E$1846,1,FALSE),"")</f>
        <v>03017</v>
      </c>
      <c r="C22" s="20" t="str">
        <f>IFERROR(VLOOKUP(B22,商品!$B$1:$E$1846,2,FALSE),"")</f>
        <v>広東風かに玉</v>
      </c>
      <c r="D22" s="24"/>
      <c r="E22" s="20" t="str">
        <f>IFERROR(VLOOKUP(E$5&amp;TEXT($A22,"000"),商品!$B$1:$E$1846,1,FALSE),"")</f>
        <v/>
      </c>
      <c r="F22" s="41" t="str">
        <f>IFERROR(VLOOKUP(E22,商品!$B$1:$E$1846,2,FALSE),"")</f>
        <v/>
      </c>
      <c r="G22" s="24"/>
      <c r="H22" s="20" t="str">
        <f>IFERROR(VLOOKUP(H$5&amp;TEXT($A22,"000"),商品!$B$1:$E$1846,1,FALSE),"")</f>
        <v/>
      </c>
      <c r="I22" s="20" t="str">
        <f>IFERROR(VLOOKUP(H22,商品!$B$1:$E$1846,2,FALSE),"")</f>
        <v/>
      </c>
      <c r="J22" s="24"/>
      <c r="K22" s="20" t="str">
        <f>IFERROR(VLOOKUP(K$5&amp;TEXT($A22,"000"),商品!$B$1:$E$1846,1,FALSE),"")</f>
        <v/>
      </c>
      <c r="L22" s="20" t="str">
        <f>IFERROR(VLOOKUP(K22,商品!$B$1:$E$1846,2,FALSE),"")</f>
        <v/>
      </c>
      <c r="M22" s="24"/>
      <c r="N22" s="20" t="str">
        <f>IFERROR(VLOOKUP(N$5&amp;TEXT($A22,"000"),商品!$B$1:$E$1846,1,FALSE),"")</f>
        <v/>
      </c>
      <c r="O22" s="20" t="str">
        <f>IFERROR(VLOOKUP(N22,商品!$B$1:$E$1846,2,FALSE),"")</f>
        <v/>
      </c>
      <c r="P22" s="24"/>
    </row>
    <row r="23" spans="1:21" s="5" customFormat="1" ht="31.5" hidden="1" customHeight="1" x14ac:dyDescent="0.15">
      <c r="A23" s="5">
        <v>18</v>
      </c>
      <c r="B23" s="20" t="str">
        <f>IFERROR(VLOOKUP(B$5&amp;TEXT($A23,"000"),商品!$B$1:$E$1846,1,FALSE),"")</f>
        <v>03018</v>
      </c>
      <c r="C23" s="20" t="str">
        <f>IFERROR(VLOOKUP(B23,商品!$B$1:$E$1846,2,FALSE),"")</f>
        <v>メバルの幽庵焼き</v>
      </c>
      <c r="D23" s="24"/>
      <c r="E23" s="20" t="str">
        <f>IFERROR(VLOOKUP(E$5&amp;TEXT($A23,"000"),商品!$B$1:$E$1846,1,FALSE),"")</f>
        <v/>
      </c>
      <c r="F23" s="41" t="str">
        <f>IFERROR(VLOOKUP(E23,商品!$B$1:$E$1846,2,FALSE),"")</f>
        <v/>
      </c>
      <c r="G23" s="24"/>
      <c r="H23" s="20" t="str">
        <f>IFERROR(VLOOKUP(H$5&amp;TEXT($A23,"000"),商品!$B$1:$E$1846,1,FALSE),"")</f>
        <v/>
      </c>
      <c r="I23" s="20" t="str">
        <f>IFERROR(VLOOKUP(H23,商品!$B$1:$E$1846,2,FALSE),"")</f>
        <v/>
      </c>
      <c r="J23" s="24"/>
      <c r="K23" s="20" t="str">
        <f>IFERROR(VLOOKUP(K$5&amp;TEXT($A23,"000"),商品!$B$1:$E$1846,1,FALSE),"")</f>
        <v/>
      </c>
      <c r="L23" s="20" t="str">
        <f>IFERROR(VLOOKUP(K23,商品!$B$1:$E$1846,2,FALSE),"")</f>
        <v/>
      </c>
      <c r="M23" s="24"/>
      <c r="N23" s="20" t="str">
        <f>IFERROR(VLOOKUP(N$5&amp;TEXT($A23,"000"),商品!$B$1:$E$1846,1,FALSE),"")</f>
        <v/>
      </c>
      <c r="O23" s="20" t="str">
        <f>IFERROR(VLOOKUP(N23,商品!$B$1:$E$1846,2,FALSE),"")</f>
        <v/>
      </c>
      <c r="P23" s="24"/>
      <c r="R23" s="59"/>
      <c r="S23" s="59"/>
      <c r="T23" s="59"/>
      <c r="U23" s="59"/>
    </row>
    <row r="24" spans="1:21" s="5" customFormat="1" ht="31.5" hidden="1" customHeight="1" x14ac:dyDescent="0.15">
      <c r="A24" s="5">
        <v>19</v>
      </c>
      <c r="B24" s="20" t="str">
        <f>IFERROR(VLOOKUP(B$5&amp;TEXT($A24,"000"),商品!$B$1:$E$1846,1,FALSE),"")</f>
        <v>03019</v>
      </c>
      <c r="C24" s="20" t="str">
        <f>IFERROR(VLOOKUP(B24,商品!$B$1:$E$1846,2,FALSE),"")</f>
        <v>ハンバーグ玉葱ソース</v>
      </c>
      <c r="D24" s="24"/>
      <c r="E24" s="20" t="str">
        <f>IFERROR(VLOOKUP(E$5&amp;TEXT($A24,"000"),商品!$B$1:$E$1846,1,FALSE),"")</f>
        <v/>
      </c>
      <c r="F24" s="41" t="str">
        <f>IFERROR(VLOOKUP(E24,商品!$B$1:$E$1846,2,FALSE),"")</f>
        <v/>
      </c>
      <c r="G24" s="24"/>
      <c r="H24" s="20" t="str">
        <f>IFERROR(VLOOKUP(H$5&amp;TEXT($A24,"000"),商品!$B$1:$E$1846,1,FALSE),"")</f>
        <v/>
      </c>
      <c r="I24" s="20" t="str">
        <f>IFERROR(VLOOKUP(H24,商品!$B$1:$E$1846,2,FALSE),"")</f>
        <v/>
      </c>
      <c r="J24" s="24"/>
      <c r="K24" s="20" t="str">
        <f>IFERROR(VLOOKUP(K$5&amp;TEXT($A24,"000"),商品!$B$1:$E$1846,1,FALSE),"")</f>
        <v/>
      </c>
      <c r="L24" s="20" t="str">
        <f>IFERROR(VLOOKUP(K24,商品!$B$1:$E$1846,2,FALSE),"")</f>
        <v/>
      </c>
      <c r="M24" s="24"/>
      <c r="N24" s="20" t="str">
        <f>IFERROR(VLOOKUP(N$5&amp;TEXT($A24,"000"),商品!$B$1:$E$1846,1,FALSE),"")</f>
        <v/>
      </c>
      <c r="O24" s="20" t="str">
        <f>IFERROR(VLOOKUP(N24,商品!$B$1:$E$1846,2,FALSE),"")</f>
        <v/>
      </c>
      <c r="P24" s="24"/>
      <c r="R24" s="59"/>
      <c r="S24" s="59"/>
      <c r="T24" s="59"/>
      <c r="U24" s="59"/>
    </row>
    <row r="25" spans="1:21" s="5" customFormat="1" ht="31.5" hidden="1" customHeight="1" x14ac:dyDescent="0.15">
      <c r="A25" s="5">
        <v>20</v>
      </c>
      <c r="B25" s="20" t="str">
        <f>IFERROR(VLOOKUP(B$5&amp;TEXT($A25,"000"),商品!$B$1:$E$1846,1,FALSE),"")</f>
        <v>03020</v>
      </c>
      <c r="C25" s="20" t="str">
        <f>IFERROR(VLOOKUP(B25,商品!$B$1:$E$1846,2,FALSE),"")</f>
        <v>牛肉のチャプチェ</v>
      </c>
      <c r="D25" s="24"/>
      <c r="E25" s="20" t="str">
        <f>IFERROR(VLOOKUP(E$5&amp;TEXT($A25,"000"),商品!$B$1:$E$1846,1,FALSE),"")</f>
        <v/>
      </c>
      <c r="F25" s="41" t="str">
        <f>IFERROR(VLOOKUP(E25,商品!$B$1:$E$1846,2,FALSE),"")</f>
        <v/>
      </c>
      <c r="G25" s="24"/>
      <c r="H25" s="20" t="str">
        <f>IFERROR(VLOOKUP(H$5&amp;TEXT($A25,"000"),商品!$B$1:$E$1846,1,FALSE),"")</f>
        <v/>
      </c>
      <c r="I25" s="20" t="str">
        <f>IFERROR(VLOOKUP(H25,商品!$B$1:$E$1846,2,FALSE),"")</f>
        <v/>
      </c>
      <c r="J25" s="24"/>
      <c r="K25" s="20" t="str">
        <f>IFERROR(VLOOKUP(K$5&amp;TEXT($A25,"000"),商品!$B$1:$E$1846,1,FALSE),"")</f>
        <v/>
      </c>
      <c r="L25" s="20" t="str">
        <f>IFERROR(VLOOKUP(K25,商品!$B$1:$E$1846,2,FALSE),"")</f>
        <v/>
      </c>
      <c r="M25" s="24"/>
      <c r="N25" s="20" t="str">
        <f>IFERROR(VLOOKUP(N$5&amp;TEXT($A25,"000"),商品!$B$1:$E$1846,1,FALSE),"")</f>
        <v/>
      </c>
      <c r="O25" s="20" t="str">
        <f>IFERROR(VLOOKUP(N25,商品!$B$1:$E$1846,2,FALSE),"")</f>
        <v/>
      </c>
      <c r="P25" s="24"/>
    </row>
    <row r="26" spans="1:21" s="5" customFormat="1" ht="30.75" hidden="1" customHeight="1" x14ac:dyDescent="0.15">
      <c r="A26" s="5">
        <v>21</v>
      </c>
      <c r="B26" s="20" t="str">
        <f>IFERROR(VLOOKUP(B$5&amp;TEXT($A26,"000"),商品!$B$1:$E$1846,1,FALSE),"")</f>
        <v>03021</v>
      </c>
      <c r="C26" s="20" t="str">
        <f>IFERROR(VLOOKUP(B26,商品!$B$1:$E$1846,2,FALSE),"")</f>
        <v>豚しゃぶ柚子おろしだれ</v>
      </c>
      <c r="D26" s="24"/>
      <c r="E26" s="20" t="str">
        <f>IFERROR(VLOOKUP(E$5&amp;TEXT($A26,"000"),商品!$B$1:$E$1846,1,FALSE),"")</f>
        <v/>
      </c>
      <c r="F26" s="41" t="str">
        <f>IFERROR(VLOOKUP(E26,商品!$B$1:$E$1846,2,FALSE),"")</f>
        <v/>
      </c>
      <c r="G26" s="24"/>
      <c r="H26" s="20" t="str">
        <f>IFERROR(VLOOKUP(H$5&amp;TEXT($A26,"000"),商品!$B$1:$E$1846,1,FALSE),"")</f>
        <v/>
      </c>
      <c r="I26" s="20" t="str">
        <f>IFERROR(VLOOKUP(H26,商品!$B$1:$E$1846,2,FALSE),"")</f>
        <v/>
      </c>
      <c r="J26" s="24"/>
      <c r="K26" s="20" t="str">
        <f>IFERROR(VLOOKUP(K$5&amp;TEXT($A26,"000"),商品!$B$1:$E$1846,1,FALSE),"")</f>
        <v/>
      </c>
      <c r="L26" s="20" t="str">
        <f>IFERROR(VLOOKUP(K26,商品!$B$1:$E$1846,2,FALSE),"")</f>
        <v/>
      </c>
      <c r="M26" s="24"/>
      <c r="N26" s="20" t="str">
        <f>IFERROR(VLOOKUP(N$5&amp;TEXT($A26,"000"),商品!$B$1:$E$1846,1,FALSE),"")</f>
        <v/>
      </c>
      <c r="O26" s="20" t="str">
        <f>IFERROR(VLOOKUP(N26,商品!$B$1:$E$1846,2,FALSE),"")</f>
        <v/>
      </c>
      <c r="P26" s="24"/>
    </row>
    <row r="27" spans="1:21" s="5" customFormat="1" ht="30.75" hidden="1" customHeight="1" x14ac:dyDescent="0.15">
      <c r="A27" s="5">
        <v>22</v>
      </c>
      <c r="B27" s="20" t="str">
        <f>IFERROR(VLOOKUP(B$5&amp;TEXT($A27,"000"),商品!$B$1:$E$1846,1,FALSE),"")</f>
        <v>03022</v>
      </c>
      <c r="C27" s="20" t="str">
        <f>IFERROR(VLOOKUP(B27,商品!$B$1:$E$1846,2,FALSE),"")</f>
        <v>サワラの洋風焼き</v>
      </c>
      <c r="D27" s="24"/>
      <c r="E27" s="20" t="str">
        <f>IFERROR(VLOOKUP(E$5&amp;TEXT($A27,"000"),商品!$B$1:$E$1846,1,FALSE),"")</f>
        <v/>
      </c>
      <c r="F27" s="41" t="str">
        <f>IFERROR(VLOOKUP(E27,商品!$B$1:$E$1846,2,FALSE),"")</f>
        <v/>
      </c>
      <c r="G27" s="24"/>
      <c r="H27" s="20" t="str">
        <f>IFERROR(VLOOKUP(H$5&amp;TEXT($A27,"000"),商品!$B$1:$E$1846,1,FALSE),"")</f>
        <v/>
      </c>
      <c r="I27" s="20" t="str">
        <f>IFERROR(VLOOKUP(H27,商品!$B$1:$E$1846,2,FALSE),"")</f>
        <v/>
      </c>
      <c r="J27" s="24"/>
      <c r="K27" s="20" t="str">
        <f>IFERROR(VLOOKUP(K$5&amp;TEXT($A27,"000"),商品!$B$1:$E$1846,1,FALSE),"")</f>
        <v/>
      </c>
      <c r="L27" s="20" t="str">
        <f>IFERROR(VLOOKUP(K27,商品!$B$1:$E$1846,2,FALSE),"")</f>
        <v/>
      </c>
      <c r="M27" s="24"/>
      <c r="N27" s="20" t="str">
        <f>IFERROR(VLOOKUP(N$5&amp;TEXT($A27,"000"),商品!$B$1:$E$1846,1,FALSE),"")</f>
        <v/>
      </c>
      <c r="O27" s="20" t="str">
        <f>IFERROR(VLOOKUP(N27,商品!$B$1:$E$1846,2,FALSE),"")</f>
        <v/>
      </c>
      <c r="P27" s="24"/>
    </row>
    <row r="28" spans="1:21" s="5" customFormat="1" ht="30.75" hidden="1" customHeight="1" x14ac:dyDescent="0.15">
      <c r="A28" s="5">
        <v>23</v>
      </c>
      <c r="B28" s="20" t="str">
        <f>IFERROR(VLOOKUP(B$5&amp;TEXT($A28,"000"),商品!$B$1:$E$1846,1,FALSE),"")</f>
        <v>03023</v>
      </c>
      <c r="C28" s="20" t="str">
        <f>IFERROR(VLOOKUP(B28,商品!$B$1:$E$1846,2,FALSE),"")</f>
        <v>豚肉の生姜焼き</v>
      </c>
      <c r="D28" s="24"/>
      <c r="E28" s="20" t="str">
        <f>IFERROR(VLOOKUP(E$5&amp;TEXT($A28,"000"),商品!$B$1:$E$1846,1,FALSE),"")</f>
        <v/>
      </c>
      <c r="F28" s="41" t="str">
        <f>IFERROR(VLOOKUP(E28,商品!$B$1:$E$1846,2,FALSE),"")</f>
        <v/>
      </c>
      <c r="G28" s="24"/>
      <c r="H28" s="20" t="str">
        <f>IFERROR(VLOOKUP(H$5&amp;TEXT($A28,"000"),商品!$B$1:$E$1846,1,FALSE),"")</f>
        <v/>
      </c>
      <c r="I28" s="20" t="str">
        <f>IFERROR(VLOOKUP(H28,商品!$B$1:$E$1846,2,FALSE),"")</f>
        <v/>
      </c>
      <c r="J28" s="24"/>
      <c r="K28" s="20" t="str">
        <f>IFERROR(VLOOKUP(K$5&amp;TEXT($A28,"000"),商品!$B$1:$E$1846,1,FALSE),"")</f>
        <v/>
      </c>
      <c r="L28" s="20" t="str">
        <f>IFERROR(VLOOKUP(K28,商品!$B$1:$E$1846,2,FALSE),"")</f>
        <v/>
      </c>
      <c r="M28" s="24"/>
      <c r="N28" s="20" t="str">
        <f>IFERROR(VLOOKUP(N$5&amp;TEXT($A28,"000"),商品!$B$1:$E$1846,1,FALSE),"")</f>
        <v/>
      </c>
      <c r="O28" s="20" t="str">
        <f>IFERROR(VLOOKUP(N28,商品!$B$1:$E$1846,2,FALSE),"")</f>
        <v/>
      </c>
      <c r="P28" s="24"/>
      <c r="R28" s="59"/>
      <c r="S28" s="59"/>
      <c r="T28" s="59"/>
      <c r="U28" s="59"/>
    </row>
    <row r="29" spans="1:21" s="5" customFormat="1" ht="30.75" hidden="1" customHeight="1" x14ac:dyDescent="0.15">
      <c r="A29" s="5">
        <v>24</v>
      </c>
      <c r="B29" s="20" t="str">
        <f>IFERROR(VLOOKUP(B$5&amp;TEXT($A29,"000"),商品!$B$1:$E$1846,1,FALSE),"")</f>
        <v>03024</v>
      </c>
      <c r="C29" s="20" t="str">
        <f>IFERROR(VLOOKUP(B29,商品!$B$1:$E$1846,2,FALSE),"")</f>
        <v>赤魚の煮付け</v>
      </c>
      <c r="D29" s="24"/>
      <c r="E29" s="20" t="str">
        <f>IFERROR(VLOOKUP(E$5&amp;TEXT($A29,"000"),商品!$B$1:$E$1846,1,FALSE),"")</f>
        <v/>
      </c>
      <c r="F29" s="41" t="str">
        <f>IFERROR(VLOOKUP(E29,商品!$B$1:$E$1846,2,FALSE),"")</f>
        <v/>
      </c>
      <c r="G29" s="24"/>
      <c r="H29" s="20" t="str">
        <f>IFERROR(VLOOKUP(H$5&amp;TEXT($A29,"000"),商品!$B$1:$E$1846,1,FALSE),"")</f>
        <v/>
      </c>
      <c r="I29" s="20" t="str">
        <f>IFERROR(VLOOKUP(H29,商品!$B$1:$E$1846,2,FALSE),"")</f>
        <v/>
      </c>
      <c r="J29" s="24"/>
      <c r="K29" s="20" t="str">
        <f>IFERROR(VLOOKUP(K$5&amp;TEXT($A29,"000"),商品!$B$1:$E$1846,1,FALSE),"")</f>
        <v/>
      </c>
      <c r="L29" s="20" t="str">
        <f>IFERROR(VLOOKUP(K29,商品!$B$1:$E$1846,2,FALSE),"")</f>
        <v/>
      </c>
      <c r="M29" s="24"/>
      <c r="N29" s="20" t="str">
        <f>IFERROR(VLOOKUP(N$5&amp;TEXT($A29,"000"),商品!$B$1:$E$1846,1,FALSE),"")</f>
        <v/>
      </c>
      <c r="O29" s="20" t="str">
        <f>IFERROR(VLOOKUP(N29,商品!$B$1:$E$1846,2,FALSE),"")</f>
        <v/>
      </c>
      <c r="P29" s="24"/>
      <c r="R29" s="59"/>
      <c r="S29" s="59"/>
      <c r="T29" s="59"/>
      <c r="U29" s="59"/>
    </row>
    <row r="30" spans="1:21" s="5" customFormat="1" ht="31.5" hidden="1" customHeight="1" x14ac:dyDescent="0.15">
      <c r="A30" s="5">
        <v>25</v>
      </c>
      <c r="B30" s="20" t="str">
        <f>IFERROR(VLOOKUP(B$5&amp;TEXT($A30,"000"),商品!$B$1:$E$1846,1,FALSE),"")</f>
        <v>03025</v>
      </c>
      <c r="C30" s="20" t="str">
        <f>IFERROR(VLOOKUP(B30,商品!$B$1:$E$1846,2,FALSE),"")</f>
        <v>チキンカツの梅マヨソース</v>
      </c>
      <c r="D30" s="27"/>
      <c r="E30" s="20" t="str">
        <f>IFERROR(VLOOKUP(E$5&amp;TEXT($A30,"000"),商品!$B$1:$E$1846,1,FALSE),"")</f>
        <v/>
      </c>
      <c r="F30" s="41" t="str">
        <f>IFERROR(VLOOKUP(E30,商品!$B$1:$E$1846,2,FALSE),"")</f>
        <v/>
      </c>
      <c r="G30" s="27"/>
      <c r="H30" s="20" t="str">
        <f>IFERROR(VLOOKUP(H$5&amp;TEXT($A30,"000"),商品!$B$1:$E$1846,1,FALSE),"")</f>
        <v/>
      </c>
      <c r="I30" s="20" t="str">
        <f>IFERROR(VLOOKUP(H30,商品!$B$1:$E$1846,2,FALSE),"")</f>
        <v/>
      </c>
      <c r="J30" s="27"/>
      <c r="K30" s="20" t="str">
        <f>IFERROR(VLOOKUP(K$5&amp;TEXT($A30,"000"),商品!$B$1:$E$1846,1,FALSE),"")</f>
        <v/>
      </c>
      <c r="L30" s="20" t="str">
        <f>IFERROR(VLOOKUP(K30,商品!$B$1:$E$1846,2,FALSE),"")</f>
        <v/>
      </c>
      <c r="M30" s="27"/>
      <c r="N30" s="20" t="str">
        <f>IFERROR(VLOOKUP(N$5&amp;TEXT($A30,"000"),商品!$B$1:$E$1846,1,FALSE),"")</f>
        <v/>
      </c>
      <c r="O30" s="20" t="str">
        <f>IFERROR(VLOOKUP(N30,商品!$B$1:$E$1846,2,FALSE),"")</f>
        <v/>
      </c>
      <c r="P30" s="22"/>
      <c r="R30" s="56"/>
      <c r="S30" s="56"/>
      <c r="T30" s="57"/>
      <c r="U30" s="57"/>
    </row>
    <row r="31" spans="1:21" s="5" customFormat="1" ht="31.5" hidden="1" customHeight="1" x14ac:dyDescent="0.15">
      <c r="A31" s="5">
        <v>26</v>
      </c>
      <c r="B31" s="20" t="str">
        <f>IFERROR(VLOOKUP(B$5&amp;TEXT($A31,"000"),商品!$B$1:$E$1846,1,FALSE),"")</f>
        <v>03026</v>
      </c>
      <c r="C31" s="20" t="str">
        <f>IFERROR(VLOOKUP(B31,商品!$B$1:$E$1846,2,FALSE),"")</f>
        <v>肉じゃが</v>
      </c>
      <c r="D31" s="24"/>
      <c r="E31" s="20" t="str">
        <f>IFERROR(VLOOKUP(E$5&amp;TEXT($A31,"000"),商品!$B$1:$E$1846,1,FALSE),"")</f>
        <v/>
      </c>
      <c r="F31" s="20" t="str">
        <f>IFERROR(VLOOKUP(E31,商品!$B$1:$E$1846,2,FALSE),"")</f>
        <v/>
      </c>
      <c r="G31" s="24"/>
      <c r="H31" s="20" t="str">
        <f>IFERROR(VLOOKUP(H$5&amp;TEXT($A31,"000"),商品!$B$1:$E$1846,1,FALSE),"")</f>
        <v/>
      </c>
      <c r="I31" s="20" t="str">
        <f>IFERROR(VLOOKUP(H31,商品!$B$1:$E$1846,2,FALSE),"")</f>
        <v/>
      </c>
      <c r="J31" s="24"/>
      <c r="K31" s="20" t="str">
        <f>IFERROR(VLOOKUP(K$5&amp;TEXT($A31,"000"),商品!$B$1:$E$1846,1,FALSE),"")</f>
        <v/>
      </c>
      <c r="L31" s="20" t="str">
        <f>IFERROR(VLOOKUP(K31,商品!$B$1:$E$1846,2,FALSE),"")</f>
        <v/>
      </c>
      <c r="M31" s="24"/>
      <c r="N31" s="20" t="str">
        <f>IFERROR(VLOOKUP(N$5&amp;TEXT($A31,"000"),商品!$B$1:$E$1846,1,FALSE),"")</f>
        <v/>
      </c>
      <c r="O31" s="20" t="str">
        <f>IFERROR(VLOOKUP(N31,商品!$B$1:$E$1846,2,FALSE),"")</f>
        <v/>
      </c>
      <c r="P31" s="24"/>
      <c r="R31" s="56"/>
      <c r="S31" s="56"/>
      <c r="T31" s="57"/>
      <c r="U31" s="57"/>
    </row>
    <row r="32" spans="1:21" s="5" customFormat="1" ht="31.5" hidden="1" customHeight="1" x14ac:dyDescent="0.15">
      <c r="A32" s="5">
        <v>27</v>
      </c>
      <c r="B32" s="20" t="str">
        <f>IFERROR(VLOOKUP(B$5&amp;TEXT($A32,"000"),商品!$B$1:$E$1846,1,FALSE),"")</f>
        <v>03027</v>
      </c>
      <c r="C32" s="20" t="str">
        <f>IFERROR(VLOOKUP(B32,商品!$B$1:$E$1846,2,FALSE),"")</f>
        <v>鶏肉のスイートチリソース</v>
      </c>
      <c r="D32" s="24"/>
      <c r="E32" s="20" t="str">
        <f>IFERROR(VLOOKUP(E$5&amp;TEXT($A32,"000"),商品!$B$1:$E$1846,1,FALSE),"")</f>
        <v/>
      </c>
      <c r="F32" s="20" t="str">
        <f>IFERROR(VLOOKUP(E32,商品!$B$1:$E$1846,2,FALSE),"")</f>
        <v/>
      </c>
      <c r="G32" s="24"/>
      <c r="H32" s="20" t="str">
        <f>IFERROR(VLOOKUP(H$5&amp;TEXT($A32,"000"),商品!$B$1:$E$1846,1,FALSE),"")</f>
        <v/>
      </c>
      <c r="I32" s="20" t="str">
        <f>IFERROR(VLOOKUP(H32,商品!$B$1:$E$1846,2,FALSE),"")</f>
        <v/>
      </c>
      <c r="J32" s="24"/>
      <c r="K32" s="20" t="str">
        <f>IFERROR(VLOOKUP(K$5&amp;TEXT($A32,"000"),商品!$B$1:$E$1846,1,FALSE),"")</f>
        <v/>
      </c>
      <c r="L32" s="20" t="str">
        <f>IFERROR(VLOOKUP(K32,商品!$B$1:$E$1846,2,FALSE),"")</f>
        <v/>
      </c>
      <c r="M32" s="24"/>
      <c r="N32" s="20" t="str">
        <f>IFERROR(VLOOKUP(N$5&amp;TEXT($A32,"000"),商品!$B$1:$E$1846,1,FALSE),"")</f>
        <v/>
      </c>
      <c r="O32" s="20" t="str">
        <f>IFERROR(VLOOKUP(N32,商品!$B$1:$E$1846,2,FALSE),"")</f>
        <v/>
      </c>
      <c r="P32" s="24"/>
      <c r="R32" s="56"/>
      <c r="S32" s="56"/>
      <c r="T32" s="57"/>
      <c r="U32" s="57"/>
    </row>
    <row r="33" spans="1:21" s="5" customFormat="1" ht="31.5" hidden="1" customHeight="1" x14ac:dyDescent="0.15">
      <c r="A33" s="5">
        <v>28</v>
      </c>
      <c r="B33" s="20" t="str">
        <f>IFERROR(VLOOKUP(B$5&amp;TEXT($A33,"000"),商品!$B$1:$E$1846,1,FALSE),"")</f>
        <v>03028</v>
      </c>
      <c r="C33" s="20" t="str">
        <f>IFERROR(VLOOKUP(B33,商品!$B$1:$E$1846,2,FALSE),"")</f>
        <v>あんかけちゃんぽん風</v>
      </c>
      <c r="D33" s="24"/>
      <c r="E33" s="20" t="str">
        <f>IFERROR(VLOOKUP(E$5&amp;TEXT($A33,"000"),商品!$B$1:$E$1846,1,FALSE),"")</f>
        <v/>
      </c>
      <c r="F33" s="20" t="str">
        <f>IFERROR(VLOOKUP(E33,商品!$B$1:$E$1846,2,FALSE),"")</f>
        <v/>
      </c>
      <c r="G33" s="24"/>
      <c r="H33" s="20" t="str">
        <f>IFERROR(VLOOKUP(H$5&amp;TEXT($A33,"000"),商品!$B$1:$E$1846,1,FALSE),"")</f>
        <v/>
      </c>
      <c r="I33" s="20" t="str">
        <f>IFERROR(VLOOKUP(H33,商品!$B$1:$E$1846,2,FALSE),"")</f>
        <v/>
      </c>
      <c r="J33" s="24"/>
      <c r="K33" s="20" t="str">
        <f>IFERROR(VLOOKUP(K$5&amp;TEXT($A33,"000"),商品!$B$1:$E$1846,1,FALSE),"")</f>
        <v/>
      </c>
      <c r="L33" s="20" t="str">
        <f>IFERROR(VLOOKUP(K33,商品!$B$1:$E$1846,2,FALSE),"")</f>
        <v/>
      </c>
      <c r="M33" s="24"/>
      <c r="N33" s="20" t="str">
        <f>IFERROR(VLOOKUP(N$5&amp;TEXT($A33,"000"),商品!$B$1:$E$1846,1,FALSE),"")</f>
        <v/>
      </c>
      <c r="O33" s="20" t="str">
        <f>IFERROR(VLOOKUP(N33,商品!$B$1:$E$1846,2,FALSE),"")</f>
        <v/>
      </c>
      <c r="P33" s="24"/>
      <c r="R33" s="56"/>
      <c r="S33" s="58"/>
      <c r="T33" s="58"/>
      <c r="U33" s="58"/>
    </row>
    <row r="34" spans="1:21" s="5" customFormat="1" ht="31.5" hidden="1" customHeight="1" x14ac:dyDescent="0.15">
      <c r="A34" s="5">
        <v>29</v>
      </c>
      <c r="B34" s="20" t="str">
        <f>IFERROR(VLOOKUP(B$5&amp;TEXT($A34,"000"),商品!$B$1:$E$1846,1,FALSE),"")</f>
        <v>03029</v>
      </c>
      <c r="C34" s="20" t="str">
        <f>IFERROR(VLOOKUP(B34,商品!$B$1:$E$1846,2,FALSE),"")</f>
        <v>白身魚のすりおろし野菜ソース</v>
      </c>
      <c r="D34" s="24"/>
      <c r="E34" s="20" t="str">
        <f>IFERROR(VLOOKUP(E$5&amp;TEXT($A34,"000"),商品!$B$1:$E$1846,1,FALSE),"")</f>
        <v/>
      </c>
      <c r="F34" s="20" t="str">
        <f>IFERROR(VLOOKUP(E34,商品!$B$1:$E$1846,2,FALSE),"")</f>
        <v/>
      </c>
      <c r="G34" s="24"/>
      <c r="H34" s="20" t="str">
        <f>IFERROR(VLOOKUP(H$5&amp;TEXT($A34,"000"),商品!$B$1:$E$1846,1,FALSE),"")</f>
        <v/>
      </c>
      <c r="I34" s="20" t="str">
        <f>IFERROR(VLOOKUP(H34,商品!$B$1:$E$1846,2,FALSE),"")</f>
        <v/>
      </c>
      <c r="J34" s="24"/>
      <c r="K34" s="20" t="str">
        <f>IFERROR(VLOOKUP(K$5&amp;TEXT($A34,"000"),商品!$B$1:$E$1846,1,FALSE),"")</f>
        <v/>
      </c>
      <c r="L34" s="20" t="str">
        <f>IFERROR(VLOOKUP(K34,商品!$B$1:$E$1846,2,FALSE),"")</f>
        <v/>
      </c>
      <c r="M34" s="24"/>
      <c r="N34" s="20" t="str">
        <f>IFERROR(VLOOKUP(N$5&amp;TEXT($A34,"000"),商品!$B$1:$E$1846,1,FALSE),"")</f>
        <v/>
      </c>
      <c r="O34" s="20" t="str">
        <f>IFERROR(VLOOKUP(N34,商品!$B$1:$E$1846,2,FALSE),"")</f>
        <v/>
      </c>
      <c r="P34" s="24"/>
      <c r="R34" s="56"/>
      <c r="S34" s="58"/>
      <c r="T34" s="58"/>
      <c r="U34" s="58"/>
    </row>
    <row r="35" spans="1:21" s="5" customFormat="1" ht="30.75" customHeight="1" x14ac:dyDescent="0.15">
      <c r="A35" s="5">
        <v>30</v>
      </c>
      <c r="B35" s="20" t="str">
        <f>IFERROR(VLOOKUP(B$5&amp;TEXT($A35,"000"),商品!$B$1:$E$1846,1,FALSE),"")</f>
        <v>03030</v>
      </c>
      <c r="C35" s="20" t="str">
        <f>IFERROR(VLOOKUP(B35,商品!$B$1:$E$1846,2,FALSE),"")</f>
        <v>肉豆腐</v>
      </c>
      <c r="D35" s="29">
        <v>8</v>
      </c>
      <c r="E35" s="20" t="str">
        <f>IFERROR(VLOOKUP(E$5&amp;TEXT($A35,"000"),商品!$B$1:$E$1846,1,FALSE),"")</f>
        <v/>
      </c>
      <c r="F35" s="20" t="str">
        <f>IFERROR(VLOOKUP(E35,商品!$B$1:$E$1846,2,FALSE),"")</f>
        <v/>
      </c>
      <c r="G35" s="29"/>
      <c r="H35" s="20" t="str">
        <f>IFERROR(VLOOKUP(H$5&amp;TEXT($A35,"000"),商品!$B$1:$E$1846,1,FALSE),"")</f>
        <v/>
      </c>
      <c r="I35" s="20" t="str">
        <f>IFERROR(VLOOKUP(H35,商品!$B$1:$E$1846,2,FALSE),"")</f>
        <v/>
      </c>
      <c r="J35" s="29"/>
      <c r="K35" s="20" t="str">
        <f>IFERROR(VLOOKUP(K$5&amp;TEXT($A35,"000"),商品!$B$1:$E$1846,1,FALSE),"")</f>
        <v/>
      </c>
      <c r="L35" s="20" t="str">
        <f>IFERROR(VLOOKUP(K35,商品!$B$1:$E$1846,2,FALSE),"")</f>
        <v/>
      </c>
      <c r="M35" s="29"/>
      <c r="N35" s="20" t="str">
        <f>IFERROR(VLOOKUP(N$5&amp;TEXT($A35,"000"),商品!$B$1:$E$1846,1,FALSE),"")</f>
        <v/>
      </c>
      <c r="O35" s="20" t="str">
        <f>IFERROR(VLOOKUP(N35,商品!$B$1:$E$1846,2,FALSE),"")</f>
        <v/>
      </c>
      <c r="P35" s="24"/>
    </row>
    <row r="36" spans="1:21" s="5" customFormat="1" ht="31.5" customHeight="1" x14ac:dyDescent="0.15">
      <c r="A36" s="5">
        <v>31</v>
      </c>
      <c r="B36" s="20" t="str">
        <f>IFERROR(VLOOKUP(B$5&amp;TEXT($A36,"000"),商品!$B$1:$E$1846,1,FALSE),"")</f>
        <v>03031</v>
      </c>
      <c r="C36" s="20" t="str">
        <f>IFERROR(VLOOKUP(B36,商品!$B$1:$E$1846,2,FALSE),"")</f>
        <v>親子煮</v>
      </c>
      <c r="D36" s="24">
        <v>4</v>
      </c>
      <c r="E36" s="20" t="str">
        <f>IFERROR(VLOOKUP(E$5&amp;TEXT($A36,"000"),商品!$B$1:$E$1846,1,FALSE),"")</f>
        <v/>
      </c>
      <c r="F36" s="20" t="str">
        <f>IFERROR(VLOOKUP(E36,商品!$B$1:$E$1846,2,FALSE),"")</f>
        <v/>
      </c>
      <c r="G36" s="24"/>
      <c r="H36" s="20" t="str">
        <f>IFERROR(VLOOKUP(H$5&amp;TEXT($A36,"000"),商品!$B$1:$E$1846,1,FALSE),"")</f>
        <v/>
      </c>
      <c r="I36" s="20" t="str">
        <f>IFERROR(VLOOKUP(H36,商品!$B$1:$E$1846,2,FALSE),"")</f>
        <v/>
      </c>
      <c r="J36" s="24"/>
      <c r="K36" s="20" t="str">
        <f>IFERROR(VLOOKUP(K$5&amp;TEXT($A36,"000"),商品!$B$1:$E$1846,1,FALSE),"")</f>
        <v/>
      </c>
      <c r="L36" s="20" t="str">
        <f>IFERROR(VLOOKUP(K36,商品!$B$1:$E$1846,2,FALSE),"")</f>
        <v/>
      </c>
      <c r="M36" s="24"/>
      <c r="N36" s="20" t="str">
        <f>IFERROR(VLOOKUP(N$5&amp;TEXT($A36,"000"),商品!$B$1:$E$1846,1,FALSE),"")</f>
        <v/>
      </c>
      <c r="O36" s="20" t="str">
        <f>IFERROR(VLOOKUP(N36,商品!$B$1:$E$1846,2,FALSE),"")</f>
        <v/>
      </c>
      <c r="P36" s="24"/>
    </row>
    <row r="37" spans="1:21" s="5" customFormat="1" ht="31.5" customHeight="1" x14ac:dyDescent="0.15">
      <c r="A37" s="5">
        <v>32</v>
      </c>
      <c r="B37" s="20" t="str">
        <f>IFERROR(VLOOKUP(B$5&amp;TEXT($A37,"000"),商品!$B$1:$E$1846,1,FALSE),"")</f>
        <v>03032</v>
      </c>
      <c r="C37" s="20" t="str">
        <f>IFERROR(VLOOKUP(B37,商品!$B$1:$E$1846,2,FALSE),"")</f>
        <v>鶏肉の香味ソース</v>
      </c>
      <c r="D37" s="24">
        <v>4</v>
      </c>
      <c r="E37" s="20" t="str">
        <f>IFERROR(VLOOKUP(E$5&amp;TEXT($A37,"000"),商品!$B$1:$E$1846,1,FALSE),"")</f>
        <v/>
      </c>
      <c r="F37" s="20" t="str">
        <f>IFERROR(VLOOKUP(E37,商品!$B$1:$E$1846,2,FALSE),"")</f>
        <v/>
      </c>
      <c r="G37" s="24"/>
      <c r="H37" s="20" t="str">
        <f>IFERROR(VLOOKUP(H$5&amp;TEXT($A37,"000"),商品!$B$1:$E$1846,1,FALSE),"")</f>
        <v/>
      </c>
      <c r="I37" s="20" t="str">
        <f>IFERROR(VLOOKUP(H37,商品!$B$1:$E$1846,2,FALSE),"")</f>
        <v/>
      </c>
      <c r="J37" s="24"/>
      <c r="K37" s="20" t="str">
        <f>IFERROR(VLOOKUP(K$5&amp;TEXT($A37,"000"),商品!$B$1:$E$1846,1,FALSE),"")</f>
        <v/>
      </c>
      <c r="L37" s="20" t="str">
        <f>IFERROR(VLOOKUP(K37,商品!$B$1:$E$1846,2,FALSE),"")</f>
        <v/>
      </c>
      <c r="M37" s="24"/>
      <c r="N37" s="20" t="str">
        <f>IFERROR(VLOOKUP(N$5&amp;TEXT($A37,"000"),商品!$B$1:$E$1846,1,FALSE),"")</f>
        <v/>
      </c>
      <c r="O37" s="20" t="str">
        <f>IFERROR(VLOOKUP(N37,商品!$B$1:$E$1846,2,FALSE),"")</f>
        <v/>
      </c>
      <c r="P37" s="24"/>
      <c r="R37" s="59"/>
      <c r="S37" s="59"/>
      <c r="T37" s="59"/>
      <c r="U37" s="59"/>
    </row>
    <row r="38" spans="1:21" s="5" customFormat="1" ht="31.5" customHeight="1" x14ac:dyDescent="0.15">
      <c r="A38" s="5">
        <v>33</v>
      </c>
      <c r="B38" s="20" t="str">
        <f>IFERROR(VLOOKUP(B$5&amp;TEXT($A38,"000"),商品!$B$1:$E$1846,1,FALSE),"")</f>
        <v>03033</v>
      </c>
      <c r="C38" s="20" t="str">
        <f>IFERROR(VLOOKUP(B38,商品!$B$1:$E$1846,2,FALSE),"")</f>
        <v>酢豚</v>
      </c>
      <c r="D38" s="24">
        <v>8</v>
      </c>
      <c r="E38" s="20" t="str">
        <f>IFERROR(VLOOKUP(E$5&amp;TEXT($A38,"000"),商品!$B$1:$E$1846,1,FALSE),"")</f>
        <v/>
      </c>
      <c r="F38" s="20" t="str">
        <f>IFERROR(VLOOKUP(E38,商品!$B$1:$E$1846,2,FALSE),"")</f>
        <v/>
      </c>
      <c r="G38" s="24"/>
      <c r="H38" s="20" t="str">
        <f>IFERROR(VLOOKUP(H$5&amp;TEXT($A38,"000"),商品!$B$1:$E$1846,1,FALSE),"")</f>
        <v/>
      </c>
      <c r="I38" s="20" t="str">
        <f>IFERROR(VLOOKUP(H38,商品!$B$1:$E$1846,2,FALSE),"")</f>
        <v/>
      </c>
      <c r="J38" s="24"/>
      <c r="K38" s="20" t="str">
        <f>IFERROR(VLOOKUP(K$5&amp;TEXT($A38,"000"),商品!$B$1:$E$1846,1,FALSE),"")</f>
        <v/>
      </c>
      <c r="L38" s="20" t="str">
        <f>IFERROR(VLOOKUP(K38,商品!$B$1:$E$1846,2,FALSE),"")</f>
        <v/>
      </c>
      <c r="M38" s="24"/>
      <c r="N38" s="20" t="str">
        <f>IFERROR(VLOOKUP(N$5&amp;TEXT($A38,"000"),商品!$B$1:$E$1846,1,FALSE),"")</f>
        <v/>
      </c>
      <c r="O38" s="20" t="str">
        <f>IFERROR(VLOOKUP(N38,商品!$B$1:$E$1846,2,FALSE),"")</f>
        <v/>
      </c>
      <c r="P38" s="24"/>
      <c r="R38" s="59"/>
      <c r="S38" s="59"/>
      <c r="T38" s="59"/>
      <c r="U38" s="59"/>
    </row>
    <row r="39" spans="1:21" s="5" customFormat="1" ht="31.5" hidden="1" customHeight="1" x14ac:dyDescent="0.15">
      <c r="A39" s="5">
        <v>34</v>
      </c>
      <c r="B39" s="20" t="str">
        <f>IFERROR(VLOOKUP(B$5&amp;TEXT($A39,"000"),商品!$B$1:$E$1846,1,FALSE),"")</f>
        <v>03034</v>
      </c>
      <c r="C39" s="20" t="str">
        <f>IFERROR(VLOOKUP(B39,商品!$B$1:$E$1846,2,FALSE),"")</f>
        <v>牛ごぼうのしぐれ煮</v>
      </c>
      <c r="D39" s="24"/>
      <c r="E39" s="20" t="str">
        <f>IFERROR(VLOOKUP(E$5&amp;TEXT($A39,"000"),商品!$B$1:$E$1846,1,FALSE),"")</f>
        <v/>
      </c>
      <c r="F39" s="20" t="str">
        <f>IFERROR(VLOOKUP(E39,商品!$B$1:$E$1846,2,FALSE),"")</f>
        <v/>
      </c>
      <c r="G39" s="24"/>
      <c r="H39" s="20" t="str">
        <f>IFERROR(VLOOKUP(H$5&amp;TEXT($A39,"000"),商品!$B$1:$E$1846,1,FALSE),"")</f>
        <v/>
      </c>
      <c r="I39" s="20" t="str">
        <f>IFERROR(VLOOKUP(H39,商品!$B$1:$E$1846,2,FALSE),"")</f>
        <v/>
      </c>
      <c r="J39" s="24"/>
      <c r="K39" s="20" t="str">
        <f>IFERROR(VLOOKUP(K$5&amp;TEXT($A39,"000"),商品!$B$1:$E$1846,1,FALSE),"")</f>
        <v/>
      </c>
      <c r="L39" s="20" t="str">
        <f>IFERROR(VLOOKUP(K39,商品!$B$1:$E$1846,2,FALSE),"")</f>
        <v/>
      </c>
      <c r="M39" s="24"/>
      <c r="N39" s="20" t="str">
        <f>IFERROR(VLOOKUP(N$5&amp;TEXT($A39,"000"),商品!$B$1:$E$1846,1,FALSE),"")</f>
        <v/>
      </c>
      <c r="O39" s="20" t="str">
        <f>IFERROR(VLOOKUP(N39,商品!$B$1:$E$1846,2,FALSE),"")</f>
        <v/>
      </c>
      <c r="P39" s="24"/>
    </row>
    <row r="40" spans="1:21" s="5" customFormat="1" ht="30.75" hidden="1" customHeight="1" x14ac:dyDescent="0.15">
      <c r="A40" s="5">
        <v>35</v>
      </c>
      <c r="B40" s="20" t="str">
        <f>IFERROR(VLOOKUP(B$5&amp;TEXT($A40,"000"),商品!$B$1:$E$1846,1,FALSE),"")</f>
        <v>03035</v>
      </c>
      <c r="C40" s="20" t="str">
        <f>IFERROR(VLOOKUP(B40,商品!$B$1:$E$1846,2,FALSE),"")</f>
        <v>チキン南蛮宮崎風</v>
      </c>
      <c r="D40" s="24"/>
      <c r="E40" s="20" t="str">
        <f>IFERROR(VLOOKUP(E$5&amp;TEXT($A40,"000"),商品!$B$1:$E$1846,1,FALSE),"")</f>
        <v/>
      </c>
      <c r="F40" s="20" t="str">
        <f>IFERROR(VLOOKUP(E40,商品!$B$1:$E$1846,2,FALSE),"")</f>
        <v/>
      </c>
      <c r="G40" s="24"/>
      <c r="H40" s="20" t="str">
        <f>IFERROR(VLOOKUP(H$5&amp;TEXT($A40,"000"),商品!$B$1:$E$1846,1,FALSE),"")</f>
        <v/>
      </c>
      <c r="I40" s="20" t="str">
        <f>IFERROR(VLOOKUP(H40,商品!$B$1:$E$1846,2,FALSE),"")</f>
        <v/>
      </c>
      <c r="J40" s="24"/>
      <c r="K40" s="20" t="str">
        <f>IFERROR(VLOOKUP(K$5&amp;TEXT($A40,"000"),商品!$B$1:$E$1846,1,FALSE),"")</f>
        <v/>
      </c>
      <c r="L40" s="20" t="str">
        <f>IFERROR(VLOOKUP(K40,商品!$B$1:$E$1846,2,FALSE),"")</f>
        <v/>
      </c>
      <c r="M40" s="24"/>
      <c r="N40" s="20" t="str">
        <f>IFERROR(VLOOKUP(N$5&amp;TEXT($A40,"000"),商品!$B$1:$E$1846,1,FALSE),"")</f>
        <v/>
      </c>
      <c r="O40" s="20" t="str">
        <f>IFERROR(VLOOKUP(N40,商品!$B$1:$E$1846,2,FALSE),"")</f>
        <v/>
      </c>
      <c r="P40" s="24"/>
    </row>
    <row r="41" spans="1:21" s="5" customFormat="1" ht="30.75" customHeight="1" x14ac:dyDescent="0.15">
      <c r="A41" s="5">
        <v>36</v>
      </c>
      <c r="B41" s="20" t="str">
        <f>IFERROR(VLOOKUP(B$5&amp;TEXT($A41,"000"),商品!$B$1:$E$1846,1,FALSE),"")</f>
        <v>03036</v>
      </c>
      <c r="C41" s="20" t="str">
        <f>IFERROR(VLOOKUP(B41,商品!$B$1:$E$1846,2,FALSE),"")</f>
        <v>照りマヨチキン</v>
      </c>
      <c r="D41" s="24">
        <v>4</v>
      </c>
      <c r="E41" s="20" t="str">
        <f>IFERROR(VLOOKUP(E$5&amp;TEXT($A41,"000"),商品!$B$1:$E$1846,1,FALSE),"")</f>
        <v/>
      </c>
      <c r="F41" s="20" t="str">
        <f>IFERROR(VLOOKUP(E41,商品!$B$1:$E$1846,2,FALSE),"")</f>
        <v/>
      </c>
      <c r="G41" s="24"/>
      <c r="H41" s="20" t="str">
        <f>IFERROR(VLOOKUP(H$5&amp;TEXT($A41,"000"),商品!$B$1:$E$1846,1,FALSE),"")</f>
        <v/>
      </c>
      <c r="I41" s="20" t="str">
        <f>IFERROR(VLOOKUP(H41,商品!$B$1:$E$1846,2,FALSE),"")</f>
        <v/>
      </c>
      <c r="J41" s="24"/>
      <c r="K41" s="20" t="str">
        <f>IFERROR(VLOOKUP(K$5&amp;TEXT($A41,"000"),商品!$B$1:$E$1846,1,FALSE),"")</f>
        <v/>
      </c>
      <c r="L41" s="20" t="str">
        <f>IFERROR(VLOOKUP(K41,商品!$B$1:$E$1846,2,FALSE),"")</f>
        <v/>
      </c>
      <c r="M41" s="24"/>
      <c r="N41" s="20" t="str">
        <f>IFERROR(VLOOKUP(N$5&amp;TEXT($A41,"000"),商品!$B$1:$E$1846,1,FALSE),"")</f>
        <v/>
      </c>
      <c r="O41" s="20" t="str">
        <f>IFERROR(VLOOKUP(N41,商品!$B$1:$E$1846,2,FALSE),"")</f>
        <v/>
      </c>
      <c r="P41" s="24"/>
    </row>
    <row r="42" spans="1:21" s="5" customFormat="1" ht="30.75" hidden="1" customHeight="1" x14ac:dyDescent="0.15">
      <c r="A42" s="5">
        <v>37</v>
      </c>
      <c r="B42" s="20" t="str">
        <f>IFERROR(VLOOKUP(B$5&amp;TEXT($A42,"000"),商品!$B$1:$E$1846,1,FALSE),"")</f>
        <v>03037</v>
      </c>
      <c r="C42" s="20" t="str">
        <f>IFERROR(VLOOKUP(B42,商品!$B$1:$E$1846,2,FALSE),"")</f>
        <v>ハンバーグ和風あんかけ</v>
      </c>
      <c r="D42" s="24"/>
      <c r="E42" s="20" t="str">
        <f>IFERROR(VLOOKUP(E$5&amp;TEXT($A42,"000"),商品!$B$1:$E$1846,1,FALSE),"")</f>
        <v/>
      </c>
      <c r="F42" s="20" t="str">
        <f>IFERROR(VLOOKUP(E42,商品!$B$1:$E$1846,2,FALSE),"")</f>
        <v/>
      </c>
      <c r="G42" s="24"/>
      <c r="H42" s="20" t="str">
        <f>IFERROR(VLOOKUP(H$5&amp;TEXT($A42,"000"),商品!$B$1:$E$1846,1,FALSE),"")</f>
        <v/>
      </c>
      <c r="I42" s="20" t="str">
        <f>IFERROR(VLOOKUP(H42,商品!$B$1:$E$1846,2,FALSE),"")</f>
        <v/>
      </c>
      <c r="J42" s="24"/>
      <c r="K42" s="20" t="str">
        <f>IFERROR(VLOOKUP(K$5&amp;TEXT($A42,"000"),商品!$B$1:$E$1846,1,FALSE),"")</f>
        <v/>
      </c>
      <c r="L42" s="20" t="str">
        <f>IFERROR(VLOOKUP(K42,商品!$B$1:$E$1846,2,FALSE),"")</f>
        <v/>
      </c>
      <c r="M42" s="24"/>
      <c r="N42" s="20" t="str">
        <f>IFERROR(VLOOKUP(N$5&amp;TEXT($A42,"000"),商品!$B$1:$E$1846,1,FALSE),"")</f>
        <v/>
      </c>
      <c r="O42" s="20" t="str">
        <f>IFERROR(VLOOKUP(N42,商品!$B$1:$E$1846,2,FALSE),"")</f>
        <v/>
      </c>
      <c r="P42" s="24"/>
      <c r="R42" s="59"/>
      <c r="S42" s="59"/>
      <c r="T42" s="59"/>
      <c r="U42" s="59"/>
    </row>
    <row r="43" spans="1:21" s="5" customFormat="1" ht="30.75" hidden="1" customHeight="1" x14ac:dyDescent="0.15">
      <c r="A43" s="5">
        <v>38</v>
      </c>
      <c r="B43" s="20" t="str">
        <f>IFERROR(VLOOKUP(B$5&amp;TEXT($A43,"000"),商品!$B$1:$E$1846,1,FALSE),"")</f>
        <v>03038</v>
      </c>
      <c r="C43" s="20" t="str">
        <f>IFERROR(VLOOKUP(B43,商品!$B$1:$E$1846,2,FALSE),"")</f>
        <v>白身魚の葱ソース</v>
      </c>
      <c r="D43" s="24"/>
      <c r="E43" s="20" t="str">
        <f>IFERROR(VLOOKUP(E$5&amp;TEXT($A43,"000"),商品!$B$1:$E$1846,1,FALSE),"")</f>
        <v/>
      </c>
      <c r="F43" s="20" t="str">
        <f>IFERROR(VLOOKUP(E43,商品!$B$1:$E$1846,2,FALSE),"")</f>
        <v/>
      </c>
      <c r="G43" s="24"/>
      <c r="H43" s="20" t="str">
        <f>IFERROR(VLOOKUP(H$5&amp;TEXT($A43,"000"),商品!$B$1:$E$1846,1,FALSE),"")</f>
        <v/>
      </c>
      <c r="I43" s="20" t="str">
        <f>IFERROR(VLOOKUP(H43,商品!$B$1:$E$1846,2,FALSE),"")</f>
        <v/>
      </c>
      <c r="J43" s="24"/>
      <c r="K43" s="20" t="str">
        <f>IFERROR(VLOOKUP(K$5&amp;TEXT($A43,"000"),商品!$B$1:$E$1846,1,FALSE),"")</f>
        <v/>
      </c>
      <c r="L43" s="20" t="str">
        <f>IFERROR(VLOOKUP(K43,商品!$B$1:$E$1846,2,FALSE),"")</f>
        <v/>
      </c>
      <c r="M43" s="24"/>
      <c r="N43" s="20" t="str">
        <f>IFERROR(VLOOKUP(N$5&amp;TEXT($A43,"000"),商品!$B$1:$E$1846,1,FALSE),"")</f>
        <v/>
      </c>
      <c r="O43" s="20" t="str">
        <f>IFERROR(VLOOKUP(N43,商品!$B$1:$E$1846,2,FALSE),"")</f>
        <v/>
      </c>
      <c r="P43" s="24"/>
      <c r="R43" s="59"/>
      <c r="S43" s="59"/>
      <c r="T43" s="59"/>
      <c r="U43" s="59"/>
    </row>
    <row r="44" spans="1:21" s="5" customFormat="1" ht="31.5" hidden="1" customHeight="1" x14ac:dyDescent="0.15">
      <c r="A44" s="5">
        <v>39</v>
      </c>
      <c r="B44" s="20" t="str">
        <f>IFERROR(VLOOKUP(B$5&amp;TEXT($A44,"000"),商品!$B$1:$E$1846,1,FALSE),"")</f>
        <v>03039</v>
      </c>
      <c r="C44" s="20" t="str">
        <f>IFERROR(VLOOKUP(B44,商品!$B$1:$E$1846,2,FALSE),"")</f>
        <v>八宝菜</v>
      </c>
      <c r="D44" s="27"/>
      <c r="E44" s="20" t="str">
        <f>IFERROR(VLOOKUP(E$5&amp;TEXT($A44,"000"),商品!$B$1:$E$1846,1,FALSE),"")</f>
        <v/>
      </c>
      <c r="F44" s="20" t="str">
        <f>IFERROR(VLOOKUP(E44,商品!$B$1:$E$1846,2,FALSE),"")</f>
        <v/>
      </c>
      <c r="G44" s="27"/>
      <c r="H44" s="20" t="str">
        <f>IFERROR(VLOOKUP(H$5&amp;TEXT($A44,"000"),商品!$B$1:$E$1846,1,FALSE),"")</f>
        <v/>
      </c>
      <c r="I44" s="20" t="str">
        <f>IFERROR(VLOOKUP(H44,商品!$B$1:$E$1846,2,FALSE),"")</f>
        <v/>
      </c>
      <c r="J44" s="27"/>
      <c r="K44" s="20" t="str">
        <f>IFERROR(VLOOKUP(K$5&amp;TEXT($A44,"000"),商品!$B$1:$E$1846,1,FALSE),"")</f>
        <v/>
      </c>
      <c r="L44" s="20" t="str">
        <f>IFERROR(VLOOKUP(K44,商品!$B$1:$E$1846,2,FALSE),"")</f>
        <v/>
      </c>
      <c r="M44" s="27"/>
      <c r="N44" s="20" t="str">
        <f>IFERROR(VLOOKUP(N$5&amp;TEXT($A44,"000"),商品!$B$1:$E$1846,1,FALSE),"")</f>
        <v/>
      </c>
      <c r="O44" s="20" t="str">
        <f>IFERROR(VLOOKUP(N44,商品!$B$1:$E$1846,2,FALSE),"")</f>
        <v/>
      </c>
      <c r="P44" s="22"/>
      <c r="R44" s="56"/>
      <c r="S44" s="56"/>
      <c r="T44" s="57"/>
      <c r="U44" s="57"/>
    </row>
    <row r="45" spans="1:21" s="5" customFormat="1" ht="31.5" hidden="1" customHeight="1" x14ac:dyDescent="0.15">
      <c r="A45" s="5">
        <v>40</v>
      </c>
      <c r="B45" s="20" t="str">
        <f>IFERROR(VLOOKUP(B$5&amp;TEXT($A45,"000"),商品!$B$1:$E$1846,1,FALSE),"")</f>
        <v>03040</v>
      </c>
      <c r="C45" s="20" t="str">
        <f>IFERROR(VLOOKUP(B45,商品!$B$1:$E$1846,2,FALSE),"")</f>
        <v>たらフライのタルタルソース</v>
      </c>
      <c r="D45" s="24"/>
      <c r="E45" s="20" t="str">
        <f>IFERROR(VLOOKUP(E$5&amp;TEXT($A45,"000"),商品!$B$1:$E$1846,1,FALSE),"")</f>
        <v/>
      </c>
      <c r="F45" s="20" t="str">
        <f>IFERROR(VLOOKUP(E45,商品!$B$1:$E$1846,2,FALSE),"")</f>
        <v/>
      </c>
      <c r="G45" s="24"/>
      <c r="H45" s="20" t="str">
        <f>IFERROR(VLOOKUP(H$5&amp;TEXT($A45,"000"),商品!$B$1:$E$1846,1,FALSE),"")</f>
        <v/>
      </c>
      <c r="I45" s="20" t="str">
        <f>IFERROR(VLOOKUP(H45,商品!$B$1:$E$1846,2,FALSE),"")</f>
        <v/>
      </c>
      <c r="J45" s="24"/>
      <c r="K45" s="20" t="str">
        <f>IFERROR(VLOOKUP(K$5&amp;TEXT($A45,"000"),商品!$B$1:$E$1846,1,FALSE),"")</f>
        <v/>
      </c>
      <c r="L45" s="20" t="str">
        <f>IFERROR(VLOOKUP(K45,商品!$B$1:$E$1846,2,FALSE),"")</f>
        <v/>
      </c>
      <c r="M45" s="24"/>
      <c r="N45" s="20" t="str">
        <f>IFERROR(VLOOKUP(N$5&amp;TEXT($A45,"000"),商品!$B$1:$E$1846,1,FALSE),"")</f>
        <v/>
      </c>
      <c r="O45" s="20" t="str">
        <f>IFERROR(VLOOKUP(N45,商品!$B$1:$E$1846,2,FALSE),"")</f>
        <v/>
      </c>
      <c r="P45" s="24"/>
      <c r="R45" s="56"/>
      <c r="S45" s="56"/>
      <c r="T45" s="57"/>
      <c r="U45" s="57"/>
    </row>
    <row r="46" spans="1:21" s="5" customFormat="1" ht="31.5" hidden="1" customHeight="1" x14ac:dyDescent="0.15">
      <c r="A46" s="5">
        <v>41</v>
      </c>
      <c r="B46" s="20" t="str">
        <f>IFERROR(VLOOKUP(B$5&amp;TEXT($A46,"000"),商品!$B$1:$E$1846,1,FALSE),"")</f>
        <v>03041</v>
      </c>
      <c r="C46" s="20" t="str">
        <f>IFERROR(VLOOKUP(B46,商品!$B$1:$E$1846,2,FALSE),"")</f>
        <v>ハンバーグデミグラスソース</v>
      </c>
      <c r="D46" s="24"/>
      <c r="E46" s="20" t="str">
        <f>IFERROR(VLOOKUP(E$5&amp;TEXT($A46,"000"),商品!$B$1:$E$1846,1,FALSE),"")</f>
        <v/>
      </c>
      <c r="F46" s="20" t="str">
        <f>IFERROR(VLOOKUP(E46,商品!$B$1:$E$1846,2,FALSE),"")</f>
        <v/>
      </c>
      <c r="G46" s="24"/>
      <c r="H46" s="20" t="str">
        <f>IFERROR(VLOOKUP(H$5&amp;TEXT($A46,"000"),商品!$B$1:$E$1846,1,FALSE),"")</f>
        <v/>
      </c>
      <c r="I46" s="20" t="str">
        <f>IFERROR(VLOOKUP(H46,商品!$B$1:$E$1846,2,FALSE),"")</f>
        <v/>
      </c>
      <c r="J46" s="24"/>
      <c r="K46" s="20" t="str">
        <f>IFERROR(VLOOKUP(K$5&amp;TEXT($A46,"000"),商品!$B$1:$E$1846,1,FALSE),"")</f>
        <v/>
      </c>
      <c r="L46" s="20" t="str">
        <f>IFERROR(VLOOKUP(K46,商品!$B$1:$E$1846,2,FALSE),"")</f>
        <v/>
      </c>
      <c r="M46" s="24"/>
      <c r="N46" s="20" t="str">
        <f>IFERROR(VLOOKUP(N$5&amp;TEXT($A46,"000"),商品!$B$1:$E$1846,1,FALSE),"")</f>
        <v/>
      </c>
      <c r="O46" s="20" t="str">
        <f>IFERROR(VLOOKUP(N46,商品!$B$1:$E$1846,2,FALSE),"")</f>
        <v/>
      </c>
      <c r="P46" s="24"/>
      <c r="R46" s="56"/>
      <c r="S46" s="56"/>
      <c r="T46" s="57"/>
      <c r="U46" s="57"/>
    </row>
    <row r="47" spans="1:21" s="5" customFormat="1" ht="31.5" hidden="1" customHeight="1" x14ac:dyDescent="0.15">
      <c r="A47" s="5">
        <v>42</v>
      </c>
      <c r="B47" s="20" t="str">
        <f>IFERROR(VLOOKUP(B$5&amp;TEXT($A47,"000"),商品!$B$1:$E$1846,1,FALSE),"")</f>
        <v>03042</v>
      </c>
      <c r="C47" s="20" t="str">
        <f>IFERROR(VLOOKUP(B47,商品!$B$1:$E$1846,2,FALSE),"")</f>
        <v>鶏天中華たれ</v>
      </c>
      <c r="D47" s="24"/>
      <c r="E47" s="20" t="str">
        <f>IFERROR(VLOOKUP(E$5&amp;TEXT($A47,"000"),商品!$B$1:$E$1846,1,FALSE),"")</f>
        <v/>
      </c>
      <c r="F47" s="20" t="str">
        <f>IFERROR(VLOOKUP(E47,商品!$B$1:$E$1846,2,FALSE),"")</f>
        <v/>
      </c>
      <c r="G47" s="24"/>
      <c r="H47" s="20" t="str">
        <f>IFERROR(VLOOKUP(H$5&amp;TEXT($A47,"000"),商品!$B$1:$E$1846,1,FALSE),"")</f>
        <v/>
      </c>
      <c r="I47" s="20" t="str">
        <f>IFERROR(VLOOKUP(H47,商品!$B$1:$E$1846,2,FALSE),"")</f>
        <v/>
      </c>
      <c r="J47" s="24"/>
      <c r="K47" s="20" t="str">
        <f>IFERROR(VLOOKUP(K$5&amp;TEXT($A47,"000"),商品!$B$1:$E$1846,1,FALSE),"")</f>
        <v/>
      </c>
      <c r="L47" s="20" t="str">
        <f>IFERROR(VLOOKUP(K47,商品!$B$1:$E$1846,2,FALSE),"")</f>
        <v/>
      </c>
      <c r="M47" s="24"/>
      <c r="N47" s="20" t="str">
        <f>IFERROR(VLOOKUP(N$5&amp;TEXT($A47,"000"),商品!$B$1:$E$1846,1,FALSE),"")</f>
        <v/>
      </c>
      <c r="O47" s="20" t="str">
        <f>IFERROR(VLOOKUP(N47,商品!$B$1:$E$1846,2,FALSE),"")</f>
        <v/>
      </c>
      <c r="P47" s="24"/>
      <c r="R47" s="56"/>
      <c r="S47" s="58"/>
      <c r="T47" s="58"/>
      <c r="U47" s="58"/>
    </row>
    <row r="48" spans="1:21" s="5" customFormat="1" ht="31.5" hidden="1" customHeight="1" x14ac:dyDescent="0.15">
      <c r="A48" s="5">
        <v>43</v>
      </c>
      <c r="B48" s="20" t="str">
        <f>IFERROR(VLOOKUP(B$5&amp;TEXT($A48,"000"),商品!$B$1:$E$1846,1,FALSE),"")</f>
        <v>03043</v>
      </c>
      <c r="C48" s="20" t="str">
        <f>IFERROR(VLOOKUP(B48,商品!$B$1:$E$1846,2,FALSE),"")</f>
        <v>カレー</v>
      </c>
      <c r="D48" s="24"/>
      <c r="E48" s="20" t="str">
        <f>IFERROR(VLOOKUP(E$5&amp;TEXT($A48,"000"),商品!$B$1:$E$1846,1,FALSE),"")</f>
        <v/>
      </c>
      <c r="F48" s="20" t="str">
        <f>IFERROR(VLOOKUP(E48,商品!$B$1:$E$1846,2,FALSE),"")</f>
        <v/>
      </c>
      <c r="G48" s="24"/>
      <c r="H48" s="20" t="str">
        <f>IFERROR(VLOOKUP(H$5&amp;TEXT($A48,"000"),商品!$B$1:$E$1846,1,FALSE),"")</f>
        <v/>
      </c>
      <c r="I48" s="20" t="str">
        <f>IFERROR(VLOOKUP(H48,商品!$B$1:$E$1846,2,FALSE),"")</f>
        <v/>
      </c>
      <c r="J48" s="24"/>
      <c r="K48" s="20" t="str">
        <f>IFERROR(VLOOKUP(K$5&amp;TEXT($A48,"000"),商品!$B$1:$E$1846,1,FALSE),"")</f>
        <v/>
      </c>
      <c r="L48" s="20" t="str">
        <f>IFERROR(VLOOKUP(K48,商品!$B$1:$E$1846,2,FALSE),"")</f>
        <v/>
      </c>
      <c r="M48" s="24"/>
      <c r="N48" s="20" t="str">
        <f>IFERROR(VLOOKUP(N$5&amp;TEXT($A48,"000"),商品!$B$1:$E$1846,1,FALSE),"")</f>
        <v/>
      </c>
      <c r="O48" s="20" t="str">
        <f>IFERROR(VLOOKUP(N48,商品!$B$1:$E$1846,2,FALSE),"")</f>
        <v/>
      </c>
      <c r="P48" s="24"/>
      <c r="R48" s="56"/>
      <c r="S48" s="58"/>
      <c r="T48" s="58"/>
      <c r="U48" s="58"/>
    </row>
    <row r="49" spans="1:21" s="5" customFormat="1" ht="30.75" hidden="1" customHeight="1" x14ac:dyDescent="0.15">
      <c r="A49" s="5">
        <v>44</v>
      </c>
      <c r="B49" s="20" t="str">
        <f>IFERROR(VLOOKUP(B$5&amp;TEXT($A49,"000"),商品!$B$1:$E$1846,1,FALSE),"")</f>
        <v>03044</v>
      </c>
      <c r="C49" s="20" t="str">
        <f>IFERROR(VLOOKUP(B49,商品!$B$1:$E$1846,2,FALSE),"")</f>
        <v>豚肉のハニーマスタードソース</v>
      </c>
      <c r="D49" s="29"/>
      <c r="E49" s="20" t="str">
        <f>IFERROR(VLOOKUP(E$5&amp;TEXT($A49,"000"),商品!$B$1:$E$1846,1,FALSE),"")</f>
        <v/>
      </c>
      <c r="F49" s="20" t="str">
        <f>IFERROR(VLOOKUP(E49,商品!$B$1:$E$1846,2,FALSE),"")</f>
        <v/>
      </c>
      <c r="G49" s="29"/>
      <c r="H49" s="20" t="str">
        <f>IFERROR(VLOOKUP(H$5&amp;TEXT($A49,"000"),商品!$B$1:$E$1846,1,FALSE),"")</f>
        <v/>
      </c>
      <c r="I49" s="20" t="str">
        <f>IFERROR(VLOOKUP(H49,商品!$B$1:$E$1846,2,FALSE),"")</f>
        <v/>
      </c>
      <c r="J49" s="29"/>
      <c r="K49" s="20" t="str">
        <f>IFERROR(VLOOKUP(K$5&amp;TEXT($A49,"000"),商品!$B$1:$E$1846,1,FALSE),"")</f>
        <v/>
      </c>
      <c r="L49" s="20" t="str">
        <f>IFERROR(VLOOKUP(K49,商品!$B$1:$E$1846,2,FALSE),"")</f>
        <v/>
      </c>
      <c r="M49" s="29"/>
      <c r="N49" s="20" t="str">
        <f>IFERROR(VLOOKUP(N$5&amp;TEXT($A49,"000"),商品!$B$1:$E$1846,1,FALSE),"")</f>
        <v/>
      </c>
      <c r="O49" s="20" t="str">
        <f>IFERROR(VLOOKUP(N49,商品!$B$1:$E$1846,2,FALSE),"")</f>
        <v/>
      </c>
      <c r="P49" s="24"/>
    </row>
    <row r="50" spans="1:21" s="5" customFormat="1" ht="31.5" hidden="1" customHeight="1" x14ac:dyDescent="0.15">
      <c r="A50" s="5">
        <v>45</v>
      </c>
      <c r="B50" s="20" t="str">
        <f>IFERROR(VLOOKUP(B$5&amp;TEXT($A50,"000"),商品!$B$1:$E$1846,1,FALSE),"")</f>
        <v>03045</v>
      </c>
      <c r="C50" s="20" t="str">
        <f>IFERROR(VLOOKUP(B50,商品!$B$1:$E$1846,2,FALSE),"")</f>
        <v>ソースメンチカツ</v>
      </c>
      <c r="D50" s="24"/>
      <c r="E50" s="20" t="str">
        <f>IFERROR(VLOOKUP(E$5&amp;TEXT($A50,"000"),商品!$B$1:$E$1846,1,FALSE),"")</f>
        <v/>
      </c>
      <c r="F50" s="20" t="str">
        <f>IFERROR(VLOOKUP(E50,商品!$B$1:$E$1846,2,FALSE),"")</f>
        <v/>
      </c>
      <c r="G50" s="24"/>
      <c r="H50" s="20" t="str">
        <f>IFERROR(VLOOKUP(H$5&amp;TEXT($A50,"000"),商品!$B$1:$E$1846,1,FALSE),"")</f>
        <v/>
      </c>
      <c r="I50" s="20" t="str">
        <f>IFERROR(VLOOKUP(H50,商品!$B$1:$E$1846,2,FALSE),"")</f>
        <v/>
      </c>
      <c r="J50" s="24"/>
      <c r="K50" s="20" t="str">
        <f>IFERROR(VLOOKUP(K$5&amp;TEXT($A50,"000"),商品!$B$1:$E$1846,1,FALSE),"")</f>
        <v/>
      </c>
      <c r="L50" s="20" t="str">
        <f>IFERROR(VLOOKUP(K50,商品!$B$1:$E$1846,2,FALSE),"")</f>
        <v/>
      </c>
      <c r="M50" s="24"/>
      <c r="N50" s="20" t="str">
        <f>IFERROR(VLOOKUP(N$5&amp;TEXT($A50,"000"),商品!$B$1:$E$1846,1,FALSE),"")</f>
        <v/>
      </c>
      <c r="O50" s="20" t="str">
        <f>IFERROR(VLOOKUP(N50,商品!$B$1:$E$1846,2,FALSE),"")</f>
        <v/>
      </c>
      <c r="P50" s="24"/>
    </row>
    <row r="51" spans="1:21" s="5" customFormat="1" ht="31.5" customHeight="1" x14ac:dyDescent="0.15">
      <c r="A51" s="5">
        <v>46</v>
      </c>
      <c r="B51" s="20" t="str">
        <f>IFERROR(VLOOKUP(B$5&amp;TEXT($A51,"000"),商品!$B$1:$E$1846,1,FALSE),"")</f>
        <v>03046</v>
      </c>
      <c r="C51" s="20" t="str">
        <f>IFERROR(VLOOKUP(B51,商品!$B$1:$E$1846,2,FALSE),"")</f>
        <v>サバのカレーマヨ焼き</v>
      </c>
      <c r="D51" s="24">
        <v>4</v>
      </c>
      <c r="E51" s="20" t="str">
        <f>IFERROR(VLOOKUP(E$5&amp;TEXT($A51,"000"),商品!$B$1:$E$1846,1,FALSE),"")</f>
        <v/>
      </c>
      <c r="F51" s="20" t="str">
        <f>IFERROR(VLOOKUP(E51,商品!$B$1:$E$1846,2,FALSE),"")</f>
        <v/>
      </c>
      <c r="G51" s="24"/>
      <c r="H51" s="20" t="str">
        <f>IFERROR(VLOOKUP(H$5&amp;TEXT($A51,"000"),商品!$B$1:$E$1846,1,FALSE),"")</f>
        <v/>
      </c>
      <c r="I51" s="20" t="str">
        <f>IFERROR(VLOOKUP(H51,商品!$B$1:$E$1846,2,FALSE),"")</f>
        <v/>
      </c>
      <c r="J51" s="24"/>
      <c r="K51" s="20" t="str">
        <f>IFERROR(VLOOKUP(K$5&amp;TEXT($A51,"000"),商品!$B$1:$E$1846,1,FALSE),"")</f>
        <v/>
      </c>
      <c r="L51" s="20" t="str">
        <f>IFERROR(VLOOKUP(K51,商品!$B$1:$E$1846,2,FALSE),"")</f>
        <v/>
      </c>
      <c r="M51" s="24"/>
      <c r="N51" s="20" t="str">
        <f>IFERROR(VLOOKUP(N$5&amp;TEXT($A51,"000"),商品!$B$1:$E$1846,1,FALSE),"")</f>
        <v/>
      </c>
      <c r="O51" s="20" t="str">
        <f>IFERROR(VLOOKUP(N51,商品!$B$1:$E$1846,2,FALSE),"")</f>
        <v/>
      </c>
      <c r="P51" s="24"/>
      <c r="R51" s="59"/>
      <c r="S51" s="59"/>
      <c r="T51" s="59"/>
      <c r="U51" s="59"/>
    </row>
    <row r="52" spans="1:21" s="5" customFormat="1" ht="31.5" hidden="1" customHeight="1" x14ac:dyDescent="0.15">
      <c r="A52" s="5">
        <v>47</v>
      </c>
      <c r="B52" s="20" t="str">
        <f>IFERROR(VLOOKUP(B$5&amp;TEXT($A52,"000"),商品!$B$1:$E$1846,1,FALSE),"")</f>
        <v>03047</v>
      </c>
      <c r="C52" s="20" t="str">
        <f>IFERROR(VLOOKUP(B52,商品!$B$1:$E$1846,2,FALSE),"")</f>
        <v>さっぱりトマトのポークソテー</v>
      </c>
      <c r="D52" s="24"/>
      <c r="E52" s="20" t="str">
        <f>IFERROR(VLOOKUP(E$5&amp;TEXT($A52,"000"),商品!$B$1:$E$1846,1,FALSE),"")</f>
        <v/>
      </c>
      <c r="F52" s="20" t="str">
        <f>IFERROR(VLOOKUP(E52,商品!$B$1:$E$1846,2,FALSE),"")</f>
        <v/>
      </c>
      <c r="G52" s="24"/>
      <c r="H52" s="20" t="str">
        <f>IFERROR(VLOOKUP(H$5&amp;TEXT($A52,"000"),商品!$B$1:$E$1846,1,FALSE),"")</f>
        <v/>
      </c>
      <c r="I52" s="20" t="str">
        <f>IFERROR(VLOOKUP(H52,商品!$B$1:$E$1846,2,FALSE),"")</f>
        <v/>
      </c>
      <c r="J52" s="24"/>
      <c r="K52" s="20" t="str">
        <f>IFERROR(VLOOKUP(K$5&amp;TEXT($A52,"000"),商品!$B$1:$E$1846,1,FALSE),"")</f>
        <v/>
      </c>
      <c r="L52" s="20" t="str">
        <f>IFERROR(VLOOKUP(K52,商品!$B$1:$E$1846,2,FALSE),"")</f>
        <v/>
      </c>
      <c r="M52" s="24"/>
      <c r="N52" s="20" t="str">
        <f>IFERROR(VLOOKUP(N$5&amp;TEXT($A52,"000"),商品!$B$1:$E$1846,1,FALSE),"")</f>
        <v/>
      </c>
      <c r="O52" s="20" t="str">
        <f>IFERROR(VLOOKUP(N52,商品!$B$1:$E$1846,2,FALSE),"")</f>
        <v/>
      </c>
      <c r="P52" s="24"/>
      <c r="R52" s="59"/>
      <c r="S52" s="59"/>
      <c r="T52" s="59"/>
      <c r="U52" s="59"/>
    </row>
    <row r="53" spans="1:21" s="5" customFormat="1" ht="31.5" hidden="1" customHeight="1" x14ac:dyDescent="0.15">
      <c r="A53" s="5">
        <v>48</v>
      </c>
      <c r="B53" s="20" t="str">
        <f>IFERROR(VLOOKUP(B$5&amp;TEXT($A53,"000"),商品!$B$1:$E$1846,1,FALSE),"")</f>
        <v>03048</v>
      </c>
      <c r="C53" s="20" t="str">
        <f>IFERROR(VLOOKUP(B53,商品!$B$1:$E$1846,2,FALSE),"")</f>
        <v>ヤンニョムチーズチキン</v>
      </c>
      <c r="D53" s="24"/>
      <c r="E53" s="20" t="str">
        <f>IFERROR(VLOOKUP(E$5&amp;TEXT($A53,"000"),商品!$B$1:$E$1846,1,FALSE),"")</f>
        <v/>
      </c>
      <c r="F53" s="20" t="str">
        <f>IFERROR(VLOOKUP(E53,商品!$B$1:$E$1846,2,FALSE),"")</f>
        <v/>
      </c>
      <c r="G53" s="24"/>
      <c r="H53" s="20" t="str">
        <f>IFERROR(VLOOKUP(H$5&amp;TEXT($A53,"000"),商品!$B$1:$E$1846,1,FALSE),"")</f>
        <v/>
      </c>
      <c r="I53" s="20" t="str">
        <f>IFERROR(VLOOKUP(H53,商品!$B$1:$E$1846,2,FALSE),"")</f>
        <v/>
      </c>
      <c r="J53" s="24"/>
      <c r="K53" s="20" t="str">
        <f>IFERROR(VLOOKUP(K$5&amp;TEXT($A53,"000"),商品!$B$1:$E$1846,1,FALSE),"")</f>
        <v/>
      </c>
      <c r="L53" s="20" t="str">
        <f>IFERROR(VLOOKUP(K53,商品!$B$1:$E$1846,2,FALSE),"")</f>
        <v/>
      </c>
      <c r="M53" s="24"/>
      <c r="N53" s="20" t="str">
        <f>IFERROR(VLOOKUP(N$5&amp;TEXT($A53,"000"),商品!$B$1:$E$1846,1,FALSE),"")</f>
        <v/>
      </c>
      <c r="O53" s="20" t="str">
        <f>IFERROR(VLOOKUP(N53,商品!$B$1:$E$1846,2,FALSE),"")</f>
        <v/>
      </c>
      <c r="P53" s="24"/>
    </row>
    <row r="54" spans="1:21" s="5" customFormat="1" ht="30.75" hidden="1" customHeight="1" x14ac:dyDescent="0.15">
      <c r="A54" s="5">
        <v>49</v>
      </c>
      <c r="B54" s="20" t="str">
        <f>IFERROR(VLOOKUP(B$5&amp;TEXT($A54,"000"),商品!$B$1:$E$1846,1,FALSE),"")</f>
        <v>03049</v>
      </c>
      <c r="C54" s="20" t="str">
        <f>IFERROR(VLOOKUP(B54,商品!$B$1:$E$1846,2,FALSE),"")</f>
        <v>たらのムニエルホワイトソース</v>
      </c>
      <c r="D54" s="24"/>
      <c r="E54" s="20" t="str">
        <f>IFERROR(VLOOKUP(E$5&amp;TEXT($A54,"000"),商品!$B$1:$E$1846,1,FALSE),"")</f>
        <v/>
      </c>
      <c r="F54" s="20" t="str">
        <f>IFERROR(VLOOKUP(E54,商品!$B$1:$E$1846,2,FALSE),"")</f>
        <v/>
      </c>
      <c r="G54" s="24"/>
      <c r="H54" s="20" t="str">
        <f>IFERROR(VLOOKUP(H$5&amp;TEXT($A54,"000"),商品!$B$1:$E$1846,1,FALSE),"")</f>
        <v/>
      </c>
      <c r="I54" s="20" t="str">
        <f>IFERROR(VLOOKUP(H54,商品!$B$1:$E$1846,2,FALSE),"")</f>
        <v/>
      </c>
      <c r="J54" s="24"/>
      <c r="K54" s="20" t="str">
        <f>IFERROR(VLOOKUP(K$5&amp;TEXT($A54,"000"),商品!$B$1:$E$1846,1,FALSE),"")</f>
        <v/>
      </c>
      <c r="L54" s="20" t="str">
        <f>IFERROR(VLOOKUP(K54,商品!$B$1:$E$1846,2,FALSE),"")</f>
        <v/>
      </c>
      <c r="M54" s="24"/>
      <c r="N54" s="20" t="str">
        <f>IFERROR(VLOOKUP(N$5&amp;TEXT($A54,"000"),商品!$B$1:$E$1846,1,FALSE),"")</f>
        <v/>
      </c>
      <c r="O54" s="20" t="str">
        <f>IFERROR(VLOOKUP(N54,商品!$B$1:$E$1846,2,FALSE),"")</f>
        <v/>
      </c>
      <c r="P54" s="24"/>
    </row>
    <row r="55" spans="1:21" s="5" customFormat="1" ht="30.75" customHeight="1" thickBot="1" x14ac:dyDescent="0.2">
      <c r="A55" s="5">
        <v>50</v>
      </c>
      <c r="B55" s="20" t="str">
        <f>IFERROR(VLOOKUP(B$5&amp;TEXT($A55,"000"),商品!$B$1:$E$1846,1,FALSE),"")</f>
        <v>03050</v>
      </c>
      <c r="C55" s="20" t="str">
        <f>IFERROR(VLOOKUP(B55,商品!$B$1:$E$1846,2,FALSE),"")</f>
        <v>豆腐ハンバーグ和風きのこソース</v>
      </c>
      <c r="D55" s="24">
        <v>4</v>
      </c>
      <c r="E55" s="20" t="str">
        <f>IFERROR(VLOOKUP(E$5&amp;TEXT($A55,"000"),商品!$B$1:$E$1846,1,FALSE),"")</f>
        <v/>
      </c>
      <c r="F55" s="20" t="str">
        <f>IFERROR(VLOOKUP(E55,商品!$B$1:$E$1846,2,FALSE),"")</f>
        <v/>
      </c>
      <c r="G55" s="24"/>
      <c r="H55" s="20" t="str">
        <f>IFERROR(VLOOKUP(H$5&amp;TEXT($A55,"000"),商品!$B$1:$E$1846,1,FALSE),"")</f>
        <v/>
      </c>
      <c r="I55" s="20" t="str">
        <f>IFERROR(VLOOKUP(H55,商品!$B$1:$E$1846,2,FALSE),"")</f>
        <v/>
      </c>
      <c r="J55" s="24"/>
      <c r="K55" s="20" t="str">
        <f>IFERROR(VLOOKUP(K$5&amp;TEXT($A55,"000"),商品!$B$1:$E$1846,1,FALSE),"")</f>
        <v/>
      </c>
      <c r="L55" s="20" t="str">
        <f>IFERROR(VLOOKUP(K55,商品!$B$1:$E$1846,2,FALSE),"")</f>
        <v/>
      </c>
      <c r="M55" s="24"/>
      <c r="N55" s="20" t="str">
        <f>IFERROR(VLOOKUP(N$5&amp;TEXT($A55,"000"),商品!$B$1:$E$1846,1,FALSE),"")</f>
        <v/>
      </c>
      <c r="O55" s="20" t="str">
        <f>IFERROR(VLOOKUP(N55,商品!$B$1:$E$1846,2,FALSE),"")</f>
        <v/>
      </c>
      <c r="P55" s="24"/>
    </row>
    <row r="56" spans="1:21" s="5" customFormat="1" ht="30.75" hidden="1" customHeight="1" x14ac:dyDescent="0.15">
      <c r="A56" s="5">
        <v>51</v>
      </c>
      <c r="B56" s="20" t="str">
        <f>IFERROR(VLOOKUP(B$5&amp;TEXT($A56,"000"),商品!$B$1:$E$1846,1,FALSE),"")</f>
        <v>03051</v>
      </c>
      <c r="C56" s="20" t="str">
        <f>IFERROR(VLOOKUP(B56,商品!$B$1:$E$1846,2,FALSE),"")</f>
        <v>牛肉のスタミナ炒め</v>
      </c>
      <c r="D56" s="24"/>
      <c r="E56" s="20" t="str">
        <f>IFERROR(VLOOKUP(E$5&amp;TEXT($A56,"000"),商品!$B$1:$E$1846,1,FALSE),"")</f>
        <v/>
      </c>
      <c r="F56" s="20" t="str">
        <f>IFERROR(VLOOKUP(E56,商品!$B$1:$E$1846,2,FALSE),"")</f>
        <v/>
      </c>
      <c r="G56" s="24"/>
      <c r="H56" s="20" t="str">
        <f>IFERROR(VLOOKUP(H$5&amp;TEXT($A56,"000"),商品!$B$1:$E$1846,1,FALSE),"")</f>
        <v/>
      </c>
      <c r="I56" s="20" t="str">
        <f>IFERROR(VLOOKUP(H56,商品!$B$1:$E$1846,2,FALSE),"")</f>
        <v/>
      </c>
      <c r="J56" s="24"/>
      <c r="K56" s="20" t="str">
        <f>IFERROR(VLOOKUP(K$5&amp;TEXT($A56,"000"),商品!$B$1:$E$1846,1,FALSE),"")</f>
        <v/>
      </c>
      <c r="L56" s="20" t="str">
        <f>IFERROR(VLOOKUP(K56,商品!$B$1:$E$1846,2,FALSE),"")</f>
        <v/>
      </c>
      <c r="M56" s="24"/>
      <c r="N56" s="20" t="str">
        <f>IFERROR(VLOOKUP(N$5&amp;TEXT($A56,"000"),商品!$B$1:$E$1846,1,FALSE),"")</f>
        <v/>
      </c>
      <c r="O56" s="20" t="str">
        <f>IFERROR(VLOOKUP(N56,商品!$B$1:$E$1846,2,FALSE),"")</f>
        <v/>
      </c>
      <c r="P56" s="24"/>
      <c r="R56" s="59"/>
      <c r="S56" s="59"/>
      <c r="T56" s="59"/>
      <c r="U56" s="59"/>
    </row>
    <row r="57" spans="1:21" s="5" customFormat="1" ht="30.75" hidden="1" customHeight="1" x14ac:dyDescent="0.15">
      <c r="A57" s="5">
        <v>52</v>
      </c>
      <c r="B57" s="20" t="str">
        <f>IFERROR(VLOOKUP(B$5&amp;TEXT($A57,"000"),商品!$B$1:$E$1846,1,FALSE),"")</f>
        <v>03052</v>
      </c>
      <c r="C57" s="20" t="str">
        <f>IFERROR(VLOOKUP(B57,商品!$B$1:$E$1846,2,FALSE),"")</f>
        <v>白身魚のパイタン鍋風</v>
      </c>
      <c r="D57" s="24"/>
      <c r="E57" s="20" t="str">
        <f>IFERROR(VLOOKUP(E$5&amp;TEXT($A57,"000"),商品!$B$1:$E$1846,1,FALSE),"")</f>
        <v/>
      </c>
      <c r="F57" s="20" t="str">
        <f>IFERROR(VLOOKUP(E57,商品!$B$1:$E$1846,2,FALSE),"")</f>
        <v/>
      </c>
      <c r="G57" s="24"/>
      <c r="H57" s="20" t="str">
        <f>IFERROR(VLOOKUP(H$5&amp;TEXT($A57,"000"),商品!$B$1:$E$1846,1,FALSE),"")</f>
        <v/>
      </c>
      <c r="I57" s="20" t="str">
        <f>IFERROR(VLOOKUP(H57,商品!$B$1:$E$1846,2,FALSE),"")</f>
        <v/>
      </c>
      <c r="J57" s="24"/>
      <c r="K57" s="20" t="str">
        <f>IFERROR(VLOOKUP(K$5&amp;TEXT($A57,"000"),商品!$B$1:$E$1846,1,FALSE),"")</f>
        <v/>
      </c>
      <c r="L57" s="20" t="str">
        <f>IFERROR(VLOOKUP(K57,商品!$B$1:$E$1846,2,FALSE),"")</f>
        <v/>
      </c>
      <c r="M57" s="24"/>
      <c r="N57" s="20" t="str">
        <f>IFERROR(VLOOKUP(N$5&amp;TEXT($A57,"000"),商品!$B$1:$E$1846,1,FALSE),"")</f>
        <v/>
      </c>
      <c r="O57" s="20" t="str">
        <f>IFERROR(VLOOKUP(N57,商品!$B$1:$E$1846,2,FALSE),"")</f>
        <v/>
      </c>
      <c r="P57" s="24"/>
      <c r="R57" s="59"/>
      <c r="S57" s="59"/>
      <c r="T57" s="59"/>
      <c r="U57" s="59"/>
    </row>
    <row r="58" spans="1:21" s="5" customFormat="1" ht="31.5" hidden="1" customHeight="1" x14ac:dyDescent="0.15">
      <c r="A58" s="5">
        <v>53</v>
      </c>
      <c r="B58" s="20" t="str">
        <f>IFERROR(VLOOKUP(B$5&amp;TEXT($A58,"000"),商品!$B$1:$E$1846,1,FALSE),"")</f>
        <v>03053</v>
      </c>
      <c r="C58" s="20" t="str">
        <f>IFERROR(VLOOKUP(B58,商品!$B$1:$E$1846,2,FALSE),"")</f>
        <v>ビーフカツ</v>
      </c>
      <c r="D58" s="27"/>
      <c r="E58" s="20" t="str">
        <f>IFERROR(VLOOKUP(E$5&amp;TEXT($A58,"000"),商品!$B$1:$E$1846,1,FALSE),"")</f>
        <v/>
      </c>
      <c r="F58" s="20" t="str">
        <f>IFERROR(VLOOKUP(E58,商品!$B$1:$E$1846,2,FALSE),"")</f>
        <v/>
      </c>
      <c r="G58" s="27"/>
      <c r="H58" s="20" t="str">
        <f>IFERROR(VLOOKUP(H$5&amp;TEXT($A58,"000"),商品!$B$1:$E$1846,1,FALSE),"")</f>
        <v/>
      </c>
      <c r="I58" s="20" t="str">
        <f>IFERROR(VLOOKUP(H58,商品!$B$1:$E$1846,2,FALSE),"")</f>
        <v/>
      </c>
      <c r="J58" s="27"/>
      <c r="K58" s="20" t="str">
        <f>IFERROR(VLOOKUP(K$5&amp;TEXT($A58,"000"),商品!$B$1:$E$1846,1,FALSE),"")</f>
        <v/>
      </c>
      <c r="L58" s="20" t="str">
        <f>IFERROR(VLOOKUP(K58,商品!$B$1:$E$1846,2,FALSE),"")</f>
        <v/>
      </c>
      <c r="M58" s="27"/>
      <c r="N58" s="20" t="str">
        <f>IFERROR(VLOOKUP(N$5&amp;TEXT($A58,"000"),商品!$B$1:$E$1846,1,FALSE),"")</f>
        <v/>
      </c>
      <c r="O58" s="20" t="str">
        <f>IFERROR(VLOOKUP(N58,商品!$B$1:$E$1846,2,FALSE),"")</f>
        <v/>
      </c>
      <c r="P58" s="22"/>
      <c r="R58" s="56"/>
      <c r="S58" s="56"/>
      <c r="T58" s="57"/>
      <c r="U58" s="57"/>
    </row>
    <row r="59" spans="1:21" s="5" customFormat="1" ht="31.5" hidden="1" customHeight="1" x14ac:dyDescent="0.15">
      <c r="A59" s="5">
        <v>54</v>
      </c>
      <c r="B59" s="20" t="str">
        <f>IFERROR(VLOOKUP(B$5&amp;TEXT($A59,"000"),商品!$B$1:$E$1846,1,FALSE),"")</f>
        <v>03054</v>
      </c>
      <c r="C59" s="20" t="str">
        <f>IFERROR(VLOOKUP(B59,商品!$B$1:$E$1846,2,FALSE),"")</f>
        <v>クリームコロッケオーロラソース</v>
      </c>
      <c r="D59" s="24"/>
      <c r="E59" s="20" t="str">
        <f>IFERROR(VLOOKUP(E$5&amp;TEXT($A59,"000"),商品!$B$1:$E$1846,1,FALSE),"")</f>
        <v/>
      </c>
      <c r="F59" s="20" t="str">
        <f>IFERROR(VLOOKUP(E59,商品!$B$1:$E$1846,2,FALSE),"")</f>
        <v/>
      </c>
      <c r="G59" s="24"/>
      <c r="H59" s="20" t="str">
        <f>IFERROR(VLOOKUP(H$5&amp;TEXT($A59,"000"),商品!$B$1:$E$1846,1,FALSE),"")</f>
        <v/>
      </c>
      <c r="I59" s="20" t="str">
        <f>IFERROR(VLOOKUP(H59,商品!$B$1:$E$1846,2,FALSE),"")</f>
        <v/>
      </c>
      <c r="J59" s="24"/>
      <c r="K59" s="20" t="str">
        <f>IFERROR(VLOOKUP(K$5&amp;TEXT($A59,"000"),商品!$B$1:$E$1846,1,FALSE),"")</f>
        <v/>
      </c>
      <c r="L59" s="20" t="str">
        <f>IFERROR(VLOOKUP(K59,商品!$B$1:$E$1846,2,FALSE),"")</f>
        <v/>
      </c>
      <c r="M59" s="24"/>
      <c r="N59" s="20" t="str">
        <f>IFERROR(VLOOKUP(N$5&amp;TEXT($A59,"000"),商品!$B$1:$E$1846,1,FALSE),"")</f>
        <v/>
      </c>
      <c r="O59" s="20" t="str">
        <f>IFERROR(VLOOKUP(N59,商品!$B$1:$E$1846,2,FALSE),"")</f>
        <v/>
      </c>
      <c r="P59" s="24"/>
      <c r="R59" s="56"/>
      <c r="S59" s="56"/>
      <c r="T59" s="57"/>
      <c r="U59" s="57"/>
    </row>
    <row r="60" spans="1:21" s="5" customFormat="1" ht="31.5" hidden="1" customHeight="1" x14ac:dyDescent="0.15">
      <c r="A60" s="5">
        <v>55</v>
      </c>
      <c r="B60" s="20" t="str">
        <f>IFERROR(VLOOKUP(B$5&amp;TEXT($A60,"000"),商品!$B$1:$E$1846,1,FALSE),"")</f>
        <v>03055</v>
      </c>
      <c r="C60" s="20" t="str">
        <f>IFERROR(VLOOKUP(B60,商品!$B$1:$E$1846,2,FALSE),"")</f>
        <v>ニンニク香る鮭のバター醤油焼き</v>
      </c>
      <c r="D60" s="24"/>
      <c r="E60" s="20" t="str">
        <f>IFERROR(VLOOKUP(E$5&amp;TEXT($A60,"000"),商品!$B$1:$E$1846,1,FALSE),"")</f>
        <v/>
      </c>
      <c r="F60" s="20" t="str">
        <f>IFERROR(VLOOKUP(E60,商品!$B$1:$E$1846,2,FALSE),"")</f>
        <v/>
      </c>
      <c r="G60" s="24"/>
      <c r="H60" s="20" t="str">
        <f>IFERROR(VLOOKUP(H$5&amp;TEXT($A60,"000"),商品!$B$1:$E$1846,1,FALSE),"")</f>
        <v/>
      </c>
      <c r="I60" s="20" t="str">
        <f>IFERROR(VLOOKUP(H60,商品!$B$1:$E$1846,2,FALSE),"")</f>
        <v/>
      </c>
      <c r="J60" s="24"/>
      <c r="K60" s="20" t="str">
        <f>IFERROR(VLOOKUP(K$5&amp;TEXT($A60,"000"),商品!$B$1:$E$1846,1,FALSE),"")</f>
        <v/>
      </c>
      <c r="L60" s="20" t="str">
        <f>IFERROR(VLOOKUP(K60,商品!$B$1:$E$1846,2,FALSE),"")</f>
        <v/>
      </c>
      <c r="M60" s="24"/>
      <c r="N60" s="20" t="str">
        <f>IFERROR(VLOOKUP(N$5&amp;TEXT($A60,"000"),商品!$B$1:$E$1846,1,FALSE),"")</f>
        <v/>
      </c>
      <c r="O60" s="20" t="str">
        <f>IFERROR(VLOOKUP(N60,商品!$B$1:$E$1846,2,FALSE),"")</f>
        <v/>
      </c>
      <c r="P60" s="24"/>
      <c r="R60" s="56"/>
      <c r="S60" s="56"/>
      <c r="T60" s="57"/>
      <c r="U60" s="57"/>
    </row>
    <row r="61" spans="1:21" s="5" customFormat="1" ht="31.5" hidden="1" customHeight="1" x14ac:dyDescent="0.15">
      <c r="A61" s="5">
        <v>56</v>
      </c>
      <c r="B61" s="20" t="str">
        <f>IFERROR(VLOOKUP(B$5&amp;TEXT($A61,"000"),商品!$B$1:$E$1846,1,FALSE),"")</f>
        <v>03056</v>
      </c>
      <c r="C61" s="20" t="str">
        <f>IFERROR(VLOOKUP(B61,商品!$B$1:$E$1846,2,FALSE),"")</f>
        <v>鶏つくねのやみつき味噌だれ</v>
      </c>
      <c r="D61" s="24"/>
      <c r="E61" s="20" t="str">
        <f>IFERROR(VLOOKUP(E$5&amp;TEXT($A61,"000"),商品!$B$1:$E$1846,1,FALSE),"")</f>
        <v/>
      </c>
      <c r="F61" s="20" t="str">
        <f>IFERROR(VLOOKUP(E61,商品!$B$1:$E$1846,2,FALSE),"")</f>
        <v/>
      </c>
      <c r="G61" s="24"/>
      <c r="H61" s="20" t="str">
        <f>IFERROR(VLOOKUP(H$5&amp;TEXT($A61,"000"),商品!$B$1:$E$1846,1,FALSE),"")</f>
        <v/>
      </c>
      <c r="I61" s="20" t="str">
        <f>IFERROR(VLOOKUP(H61,商品!$B$1:$E$1846,2,FALSE),"")</f>
        <v/>
      </c>
      <c r="J61" s="24"/>
      <c r="K61" s="20" t="str">
        <f>IFERROR(VLOOKUP(K$5&amp;TEXT($A61,"000"),商品!$B$1:$E$1846,1,FALSE),"")</f>
        <v/>
      </c>
      <c r="L61" s="20" t="str">
        <f>IFERROR(VLOOKUP(K61,商品!$B$1:$E$1846,2,FALSE),"")</f>
        <v/>
      </c>
      <c r="M61" s="24"/>
      <c r="N61" s="20" t="str">
        <f>IFERROR(VLOOKUP(N$5&amp;TEXT($A61,"000"),商品!$B$1:$E$1846,1,FALSE),"")</f>
        <v/>
      </c>
      <c r="O61" s="20" t="str">
        <f>IFERROR(VLOOKUP(N61,商品!$B$1:$E$1846,2,FALSE),"")</f>
        <v/>
      </c>
      <c r="P61" s="24"/>
      <c r="R61" s="56"/>
      <c r="S61" s="58"/>
      <c r="T61" s="58"/>
      <c r="U61" s="58"/>
    </row>
    <row r="62" spans="1:21" s="5" customFormat="1" ht="31.5" hidden="1" customHeight="1" x14ac:dyDescent="0.15">
      <c r="A62" s="5">
        <v>57</v>
      </c>
      <c r="B62" s="20" t="str">
        <f>IFERROR(VLOOKUP(B$5&amp;TEXT($A62,"000"),商品!$B$1:$E$1846,1,FALSE),"")</f>
        <v>03057</v>
      </c>
      <c r="C62" s="20" t="str">
        <f>IFERROR(VLOOKUP(B62,商品!$B$1:$E$1846,2,FALSE),"")</f>
        <v>新春御膳</v>
      </c>
      <c r="D62" s="24"/>
      <c r="E62" s="20" t="str">
        <f>IFERROR(VLOOKUP(E$5&amp;TEXT($A62,"000"),商品!$B$1:$E$1846,1,FALSE),"")</f>
        <v/>
      </c>
      <c r="F62" s="20" t="str">
        <f>IFERROR(VLOOKUP(E62,商品!$B$1:$E$1846,2,FALSE),"")</f>
        <v/>
      </c>
      <c r="G62" s="24"/>
      <c r="H62" s="20" t="str">
        <f>IFERROR(VLOOKUP(H$5&amp;TEXT($A62,"000"),商品!$B$1:$E$1846,1,FALSE),"")</f>
        <v/>
      </c>
      <c r="I62" s="20" t="str">
        <f>IFERROR(VLOOKUP(H62,商品!$B$1:$E$1846,2,FALSE),"")</f>
        <v/>
      </c>
      <c r="J62" s="24"/>
      <c r="K62" s="20" t="str">
        <f>IFERROR(VLOOKUP(K$5&amp;TEXT($A62,"000"),商品!$B$1:$E$1846,1,FALSE),"")</f>
        <v/>
      </c>
      <c r="L62" s="20" t="str">
        <f>IFERROR(VLOOKUP(K62,商品!$B$1:$E$1846,2,FALSE),"")</f>
        <v/>
      </c>
      <c r="M62" s="24"/>
      <c r="N62" s="20" t="str">
        <f>IFERROR(VLOOKUP(N$5&amp;TEXT($A62,"000"),商品!$B$1:$E$1846,1,FALSE),"")</f>
        <v/>
      </c>
      <c r="O62" s="20" t="str">
        <f>IFERROR(VLOOKUP(N62,商品!$B$1:$E$1846,2,FALSE),"")</f>
        <v/>
      </c>
      <c r="P62" s="24"/>
      <c r="R62" s="56"/>
      <c r="S62" s="58"/>
      <c r="T62" s="58"/>
      <c r="U62" s="58"/>
    </row>
    <row r="63" spans="1:21" s="5" customFormat="1" ht="30.75" hidden="1" customHeight="1" x14ac:dyDescent="0.15">
      <c r="A63" s="5">
        <v>58</v>
      </c>
      <c r="B63" s="20" t="str">
        <f>IFERROR(VLOOKUP(B$5&amp;TEXT($A63,"000"),商品!$B$1:$E$1846,1,FALSE),"")</f>
        <v>03058</v>
      </c>
      <c r="C63" s="20" t="str">
        <f>IFERROR(VLOOKUP(B63,商品!$B$1:$E$1846,2,FALSE),"")</f>
        <v/>
      </c>
      <c r="D63" s="29"/>
      <c r="E63" s="20" t="str">
        <f>IFERROR(VLOOKUP(E$5&amp;TEXT($A63,"000"),商品!$B$1:$E$1846,1,FALSE),"")</f>
        <v/>
      </c>
      <c r="F63" s="20" t="str">
        <f>IFERROR(VLOOKUP(E63,商品!$B$1:$E$1846,2,FALSE),"")</f>
        <v/>
      </c>
      <c r="G63" s="29"/>
      <c r="H63" s="20" t="str">
        <f>IFERROR(VLOOKUP(H$5&amp;TEXT($A63,"000"),商品!$B$1:$E$1846,1,FALSE),"")</f>
        <v/>
      </c>
      <c r="I63" s="20" t="str">
        <f>IFERROR(VLOOKUP(H63,商品!$B$1:$E$1846,2,FALSE),"")</f>
        <v/>
      </c>
      <c r="J63" s="29"/>
      <c r="K63" s="20" t="str">
        <f>IFERROR(VLOOKUP(K$5&amp;TEXT($A63,"000"),商品!$B$1:$E$1846,1,FALSE),"")</f>
        <v/>
      </c>
      <c r="L63" s="20" t="str">
        <f>IFERROR(VLOOKUP(K63,商品!$B$1:$E$1846,2,FALSE),"")</f>
        <v/>
      </c>
      <c r="M63" s="29"/>
      <c r="N63" s="20" t="str">
        <f>IFERROR(VLOOKUP(N$5&amp;TEXT($A63,"000"),商品!$B$1:$E$1846,1,FALSE),"")</f>
        <v/>
      </c>
      <c r="O63" s="20" t="str">
        <f>IFERROR(VLOOKUP(N63,商品!$B$1:$E$1846,2,FALSE),"")</f>
        <v/>
      </c>
      <c r="P63" s="24"/>
    </row>
    <row r="64" spans="1:21" s="5" customFormat="1" ht="31.5" hidden="1" customHeight="1" x14ac:dyDescent="0.15">
      <c r="A64" s="5">
        <v>59</v>
      </c>
      <c r="B64" s="20" t="str">
        <f>IFERROR(VLOOKUP(B$5&amp;TEXT($A64,"000"),商品!$B$1:$E$1846,1,FALSE),"")</f>
        <v>03059</v>
      </c>
      <c r="C64" s="20" t="str">
        <f>IFERROR(VLOOKUP(B64,商品!$B$1:$E$1846,2,FALSE),"")</f>
        <v/>
      </c>
      <c r="D64" s="27"/>
      <c r="E64" s="20" t="str">
        <f>IFERROR(VLOOKUP(E$5&amp;TEXT($A64,"000"),商品!$B$1:$E$1846,1,FALSE),"")</f>
        <v/>
      </c>
      <c r="F64" s="20" t="str">
        <f>IFERROR(VLOOKUP(E64,商品!$B$1:$E$1846,2,FALSE),"")</f>
        <v/>
      </c>
      <c r="G64" s="27"/>
      <c r="H64" s="20" t="str">
        <f>IFERROR(VLOOKUP(H$5&amp;TEXT($A64,"000"),商品!$B$1:$E$1846,1,FALSE),"")</f>
        <v/>
      </c>
      <c r="I64" s="20" t="str">
        <f>IFERROR(VLOOKUP(H64,商品!$B$1:$E$1846,2,FALSE),"")</f>
        <v/>
      </c>
      <c r="J64" s="27"/>
      <c r="K64" s="20" t="str">
        <f>IFERROR(VLOOKUP(K$5&amp;TEXT($A64,"000"),商品!$B$1:$E$1846,1,FALSE),"")</f>
        <v/>
      </c>
      <c r="L64" s="20" t="str">
        <f>IFERROR(VLOOKUP(K64,商品!$B$1:$E$1846,2,FALSE),"")</f>
        <v/>
      </c>
      <c r="M64" s="27"/>
      <c r="N64" s="20" t="str">
        <f>IFERROR(VLOOKUP(N$5&amp;TEXT($A64,"000"),商品!$B$1:$E$1846,1,FALSE),"")</f>
        <v/>
      </c>
      <c r="O64" s="20" t="str">
        <f>IFERROR(VLOOKUP(N64,商品!$B$1:$E$1846,2,FALSE),"")</f>
        <v/>
      </c>
      <c r="P64" s="22"/>
      <c r="R64" s="56"/>
      <c r="S64" s="56"/>
      <c r="T64" s="57"/>
      <c r="U64" s="57"/>
    </row>
    <row r="65" spans="1:21" s="5" customFormat="1" ht="31.5" hidden="1" customHeight="1" x14ac:dyDescent="0.15">
      <c r="A65" s="5">
        <v>60</v>
      </c>
      <c r="B65" s="20" t="str">
        <f>IFERROR(VLOOKUP(B$5&amp;TEXT($A65,"000"),商品!$B$1:$E$1846,1,FALSE),"")</f>
        <v>03060</v>
      </c>
      <c r="C65" s="20" t="str">
        <f>IFERROR(VLOOKUP(B65,商品!$B$1:$E$1846,2,FALSE),"")</f>
        <v/>
      </c>
      <c r="D65" s="24"/>
      <c r="E65" s="20" t="str">
        <f>IFERROR(VLOOKUP(E$5&amp;TEXT($A65,"000"),商品!$B$1:$E$1846,1,FALSE),"")</f>
        <v/>
      </c>
      <c r="F65" s="20" t="str">
        <f>IFERROR(VLOOKUP(E65,商品!$B$1:$E$1846,2,FALSE),"")</f>
        <v/>
      </c>
      <c r="G65" s="24"/>
      <c r="H65" s="20" t="str">
        <f>IFERROR(VLOOKUP(H$5&amp;TEXT($A65,"000"),商品!$B$1:$E$1846,1,FALSE),"")</f>
        <v/>
      </c>
      <c r="I65" s="20" t="str">
        <f>IFERROR(VLOOKUP(H65,商品!$B$1:$E$1846,2,FALSE),"")</f>
        <v/>
      </c>
      <c r="J65" s="24"/>
      <c r="K65" s="20" t="str">
        <f>IFERROR(VLOOKUP(K$5&amp;TEXT($A65,"000"),商品!$B$1:$E$1846,1,FALSE),"")</f>
        <v/>
      </c>
      <c r="L65" s="20" t="str">
        <f>IFERROR(VLOOKUP(K65,商品!$B$1:$E$1846,2,FALSE),"")</f>
        <v/>
      </c>
      <c r="M65" s="24"/>
      <c r="N65" s="20" t="str">
        <f>IFERROR(VLOOKUP(N$5&amp;TEXT($A65,"000"),商品!$B$1:$E$1846,1,FALSE),"")</f>
        <v/>
      </c>
      <c r="O65" s="20" t="str">
        <f>IFERROR(VLOOKUP(N65,商品!$B$1:$E$1846,2,FALSE),"")</f>
        <v/>
      </c>
      <c r="P65" s="24"/>
      <c r="R65" s="56"/>
      <c r="S65" s="56"/>
      <c r="T65" s="57"/>
      <c r="U65" s="57"/>
    </row>
    <row r="66" spans="1:21" s="5" customFormat="1" ht="31.5" hidden="1" customHeight="1" x14ac:dyDescent="0.15">
      <c r="A66" s="5">
        <v>61</v>
      </c>
      <c r="B66" s="20" t="str">
        <f>IFERROR(VLOOKUP(B$5&amp;TEXT($A66,"000"),商品!$B$1:$E$1846,1,FALSE),"")</f>
        <v>03061</v>
      </c>
      <c r="C66" s="20" t="str">
        <f>IFERROR(VLOOKUP(B66,商品!$B$1:$E$1846,2,FALSE),"")</f>
        <v/>
      </c>
      <c r="D66" s="24"/>
      <c r="E66" s="20" t="str">
        <f>IFERROR(VLOOKUP(E$5&amp;TEXT($A66,"000"),商品!$B$1:$E$1846,1,FALSE),"")</f>
        <v/>
      </c>
      <c r="F66" s="20" t="str">
        <f>IFERROR(VLOOKUP(E66,商品!$B$1:$E$1846,2,FALSE),"")</f>
        <v/>
      </c>
      <c r="G66" s="24"/>
      <c r="H66" s="20" t="str">
        <f>IFERROR(VLOOKUP(H$5&amp;TEXT($A66,"000"),商品!$B$1:$E$1846,1,FALSE),"")</f>
        <v/>
      </c>
      <c r="I66" s="20" t="str">
        <f>IFERROR(VLOOKUP(H66,商品!$B$1:$E$1846,2,FALSE),"")</f>
        <v/>
      </c>
      <c r="J66" s="24"/>
      <c r="K66" s="20" t="str">
        <f>IFERROR(VLOOKUP(K$5&amp;TEXT($A66,"000"),商品!$B$1:$E$1846,1,FALSE),"")</f>
        <v/>
      </c>
      <c r="L66" s="20" t="str">
        <f>IFERROR(VLOOKUP(K66,商品!$B$1:$E$1846,2,FALSE),"")</f>
        <v/>
      </c>
      <c r="M66" s="24"/>
      <c r="N66" s="20" t="str">
        <f>IFERROR(VLOOKUP(N$5&amp;TEXT($A66,"000"),商品!$B$1:$E$1846,1,FALSE),"")</f>
        <v/>
      </c>
      <c r="O66" s="20" t="str">
        <f>IFERROR(VLOOKUP(N66,商品!$B$1:$E$1846,2,FALSE),"")</f>
        <v/>
      </c>
      <c r="P66" s="24"/>
      <c r="R66" s="56"/>
      <c r="S66" s="56"/>
      <c r="T66" s="57"/>
      <c r="U66" s="57"/>
    </row>
    <row r="67" spans="1:21" s="5" customFormat="1" ht="31.5" hidden="1" customHeight="1" x14ac:dyDescent="0.15">
      <c r="A67" s="5">
        <v>62</v>
      </c>
      <c r="B67" s="20" t="str">
        <f>IFERROR(VLOOKUP(B$5&amp;TEXT($A67,"000"),商品!$B$1:$E$1846,1,FALSE),"")</f>
        <v>03062</v>
      </c>
      <c r="C67" s="20" t="str">
        <f>IFERROR(VLOOKUP(B67,商品!$B$1:$E$1846,2,FALSE),"")</f>
        <v/>
      </c>
      <c r="D67" s="24"/>
      <c r="E67" s="20" t="str">
        <f>IFERROR(VLOOKUP(E$5&amp;TEXT($A67,"000"),商品!$B$1:$E$1846,1,FALSE),"")</f>
        <v/>
      </c>
      <c r="F67" s="20" t="str">
        <f>IFERROR(VLOOKUP(E67,商品!$B$1:$E$1846,2,FALSE),"")</f>
        <v/>
      </c>
      <c r="G67" s="24"/>
      <c r="H67" s="20" t="str">
        <f>IFERROR(VLOOKUP(H$5&amp;TEXT($A67,"000"),商品!$B$1:$E$1846,1,FALSE),"")</f>
        <v/>
      </c>
      <c r="I67" s="20" t="str">
        <f>IFERROR(VLOOKUP(H67,商品!$B$1:$E$1846,2,FALSE),"")</f>
        <v/>
      </c>
      <c r="J67" s="24"/>
      <c r="K67" s="20" t="str">
        <f>IFERROR(VLOOKUP(K$5&amp;TEXT($A67,"000"),商品!$B$1:$E$1846,1,FALSE),"")</f>
        <v/>
      </c>
      <c r="L67" s="20" t="str">
        <f>IFERROR(VLOOKUP(K67,商品!$B$1:$E$1846,2,FALSE),"")</f>
        <v/>
      </c>
      <c r="M67" s="24"/>
      <c r="N67" s="20" t="str">
        <f>IFERROR(VLOOKUP(N$5&amp;TEXT($A67,"000"),商品!$B$1:$E$1846,1,FALSE),"")</f>
        <v/>
      </c>
      <c r="O67" s="20" t="str">
        <f>IFERROR(VLOOKUP(N67,商品!$B$1:$E$1846,2,FALSE),"")</f>
        <v/>
      </c>
      <c r="P67" s="24"/>
      <c r="R67" s="56"/>
      <c r="S67" s="58"/>
      <c r="T67" s="58"/>
      <c r="U67" s="58"/>
    </row>
    <row r="68" spans="1:21" s="5" customFormat="1" ht="31.5" hidden="1" customHeight="1" x14ac:dyDescent="0.15">
      <c r="A68" s="5">
        <v>63</v>
      </c>
      <c r="B68" s="20" t="str">
        <f>IFERROR(VLOOKUP(B$5&amp;TEXT($A68,"000"),商品!$B$1:$E$1846,1,FALSE),"")</f>
        <v>03063</v>
      </c>
      <c r="C68" s="20" t="str">
        <f>IFERROR(VLOOKUP(B68,商品!$B$1:$E$1846,2,FALSE),"")</f>
        <v/>
      </c>
      <c r="D68" s="24"/>
      <c r="E68" s="20" t="str">
        <f>IFERROR(VLOOKUP(E$5&amp;TEXT($A68,"000"),商品!$B$1:$E$1846,1,FALSE),"")</f>
        <v/>
      </c>
      <c r="F68" s="20" t="str">
        <f>IFERROR(VLOOKUP(E68,商品!$B$1:$E$1846,2,FALSE),"")</f>
        <v/>
      </c>
      <c r="G68" s="24"/>
      <c r="H68" s="20" t="str">
        <f>IFERROR(VLOOKUP(H$5&amp;TEXT($A68,"000"),商品!$B$1:$E$1846,1,FALSE),"")</f>
        <v/>
      </c>
      <c r="I68" s="20" t="str">
        <f>IFERROR(VLOOKUP(H68,商品!$B$1:$E$1846,2,FALSE),"")</f>
        <v/>
      </c>
      <c r="J68" s="24"/>
      <c r="K68" s="20" t="str">
        <f>IFERROR(VLOOKUP(K$5&amp;TEXT($A68,"000"),商品!$B$1:$E$1846,1,FALSE),"")</f>
        <v/>
      </c>
      <c r="L68" s="20" t="str">
        <f>IFERROR(VLOOKUP(K68,商品!$B$1:$E$1846,2,FALSE),"")</f>
        <v/>
      </c>
      <c r="M68" s="24"/>
      <c r="N68" s="20" t="str">
        <f>IFERROR(VLOOKUP(N$5&amp;TEXT($A68,"000"),商品!$B$1:$E$1846,1,FALSE),"")</f>
        <v/>
      </c>
      <c r="O68" s="20" t="str">
        <f>IFERROR(VLOOKUP(N68,商品!$B$1:$E$1846,2,FALSE),"")</f>
        <v/>
      </c>
      <c r="P68" s="24"/>
      <c r="R68" s="56"/>
      <c r="S68" s="58"/>
      <c r="T68" s="58"/>
      <c r="U68" s="58"/>
    </row>
    <row r="69" spans="1:21" s="5" customFormat="1" ht="30.75" hidden="1" customHeight="1" x14ac:dyDescent="0.15">
      <c r="A69" s="5">
        <v>64</v>
      </c>
      <c r="B69" s="20" t="str">
        <f>IFERROR(VLOOKUP(B$5&amp;TEXT($A69,"000"),商品!$B$1:$E$1846,1,FALSE),"")</f>
        <v>03064</v>
      </c>
      <c r="C69" s="20" t="str">
        <f>IFERROR(VLOOKUP(B69,商品!$B$1:$E$1846,2,FALSE),"")</f>
        <v/>
      </c>
      <c r="D69" s="29"/>
      <c r="E69" s="20" t="str">
        <f>IFERROR(VLOOKUP(E$5&amp;TEXT($A69,"000"),商品!$B$1:$E$1846,1,FALSE),"")</f>
        <v/>
      </c>
      <c r="F69" s="20" t="str">
        <f>IFERROR(VLOOKUP(E69,商品!$B$1:$E$1846,2,FALSE),"")</f>
        <v/>
      </c>
      <c r="G69" s="29"/>
      <c r="H69" s="20" t="str">
        <f>IFERROR(VLOOKUP(H$5&amp;TEXT($A69,"000"),商品!$B$1:$E$1846,1,FALSE),"")</f>
        <v/>
      </c>
      <c r="I69" s="20" t="str">
        <f>IFERROR(VLOOKUP(H69,商品!$B$1:$E$1846,2,FALSE),"")</f>
        <v/>
      </c>
      <c r="J69" s="29"/>
      <c r="K69" s="20" t="str">
        <f>IFERROR(VLOOKUP(K$5&amp;TEXT($A69,"000"),商品!$B$1:$E$1846,1,FALSE),"")</f>
        <v/>
      </c>
      <c r="L69" s="20" t="str">
        <f>IFERROR(VLOOKUP(K69,商品!$B$1:$E$1846,2,FALSE),"")</f>
        <v/>
      </c>
      <c r="M69" s="29"/>
      <c r="N69" s="20" t="str">
        <f>IFERROR(VLOOKUP(N$5&amp;TEXT($A69,"000"),商品!$B$1:$E$1846,1,FALSE),"")</f>
        <v/>
      </c>
      <c r="O69" s="20" t="str">
        <f>IFERROR(VLOOKUP(N69,商品!$B$1:$E$1846,2,FALSE),"")</f>
        <v/>
      </c>
      <c r="P69" s="24"/>
    </row>
    <row r="70" spans="1:21" s="5" customFormat="1" ht="31.5" hidden="1" customHeight="1" x14ac:dyDescent="0.15">
      <c r="A70" s="5">
        <v>65</v>
      </c>
      <c r="B70" s="20" t="str">
        <f>IFERROR(VLOOKUP(B$5&amp;TEXT($A70,"000"),商品!$B$1:$E$1846,1,FALSE),"")</f>
        <v>03065</v>
      </c>
      <c r="C70" s="20" t="str">
        <f>IFERROR(VLOOKUP(B70,商品!$B$1:$E$1846,2,FALSE),"")</f>
        <v/>
      </c>
      <c r="D70" s="24"/>
      <c r="E70" s="20" t="str">
        <f>IFERROR(VLOOKUP(E$5&amp;TEXT($A70,"000"),商品!$B$1:$E$1846,1,FALSE),"")</f>
        <v/>
      </c>
      <c r="F70" s="20" t="str">
        <f>IFERROR(VLOOKUP(E70,商品!$B$1:$E$1846,2,FALSE),"")</f>
        <v/>
      </c>
      <c r="G70" s="24"/>
      <c r="H70" s="20" t="str">
        <f>IFERROR(VLOOKUP(H$5&amp;TEXT($A70,"000"),商品!$B$1:$E$1846,1,FALSE),"")</f>
        <v/>
      </c>
      <c r="I70" s="20" t="str">
        <f>IFERROR(VLOOKUP(H70,商品!$B$1:$E$1846,2,FALSE),"")</f>
        <v/>
      </c>
      <c r="J70" s="24"/>
      <c r="K70" s="20" t="str">
        <f>IFERROR(VLOOKUP(K$5&amp;TEXT($A70,"000"),商品!$B$1:$E$1846,1,FALSE),"")</f>
        <v/>
      </c>
      <c r="L70" s="20" t="str">
        <f>IFERROR(VLOOKUP(K70,商品!$B$1:$E$1846,2,FALSE),"")</f>
        <v/>
      </c>
      <c r="M70" s="24"/>
      <c r="N70" s="20" t="str">
        <f>IFERROR(VLOOKUP(N$5&amp;TEXT($A70,"000"),商品!$B$1:$E$1846,1,FALSE),"")</f>
        <v/>
      </c>
      <c r="O70" s="20" t="str">
        <f>IFERROR(VLOOKUP(N70,商品!$B$1:$E$1846,2,FALSE),"")</f>
        <v/>
      </c>
      <c r="P70" s="24"/>
    </row>
    <row r="71" spans="1:21" s="5" customFormat="1" ht="31.5" hidden="1" customHeight="1" x14ac:dyDescent="0.15">
      <c r="A71" s="5">
        <v>66</v>
      </c>
      <c r="B71" s="20" t="str">
        <f>IFERROR(VLOOKUP(B$5&amp;TEXT($A71,"000"),商品!$B$1:$E$1846,1,FALSE),"")</f>
        <v>03066</v>
      </c>
      <c r="C71" s="20" t="str">
        <f>IFERROR(VLOOKUP(B71,商品!$B$1:$E$1846,2,FALSE),"")</f>
        <v/>
      </c>
      <c r="D71" s="24"/>
      <c r="E71" s="20" t="str">
        <f>IFERROR(VLOOKUP(E$5&amp;TEXT($A71,"000"),商品!$B$1:$E$1846,1,FALSE),"")</f>
        <v/>
      </c>
      <c r="F71" s="20" t="str">
        <f>IFERROR(VLOOKUP(E71,商品!$B$1:$E$1846,2,FALSE),"")</f>
        <v/>
      </c>
      <c r="G71" s="24"/>
      <c r="H71" s="20" t="str">
        <f>IFERROR(VLOOKUP(H$5&amp;TEXT($A71,"000"),商品!$B$1:$E$1846,1,FALSE),"")</f>
        <v/>
      </c>
      <c r="I71" s="20" t="str">
        <f>IFERROR(VLOOKUP(H71,商品!$B$1:$E$1846,2,FALSE),"")</f>
        <v/>
      </c>
      <c r="J71" s="24"/>
      <c r="K71" s="20" t="str">
        <f>IFERROR(VLOOKUP(K$5&amp;TEXT($A71,"000"),商品!$B$1:$E$1846,1,FALSE),"")</f>
        <v/>
      </c>
      <c r="L71" s="20" t="str">
        <f>IFERROR(VLOOKUP(K71,商品!$B$1:$E$1846,2,FALSE),"")</f>
        <v/>
      </c>
      <c r="M71" s="24"/>
      <c r="N71" s="20" t="str">
        <f>IFERROR(VLOOKUP(N$5&amp;TEXT($A71,"000"),商品!$B$1:$E$1846,1,FALSE),"")</f>
        <v/>
      </c>
      <c r="O71" s="20" t="str">
        <f>IFERROR(VLOOKUP(N71,商品!$B$1:$E$1846,2,FALSE),"")</f>
        <v/>
      </c>
      <c r="P71" s="24"/>
      <c r="R71" s="59"/>
      <c r="S71" s="59"/>
      <c r="T71" s="59"/>
      <c r="U71" s="59"/>
    </row>
    <row r="72" spans="1:21" s="5" customFormat="1" ht="31.5" hidden="1" customHeight="1" x14ac:dyDescent="0.15">
      <c r="A72" s="5">
        <v>67</v>
      </c>
      <c r="B72" s="20" t="str">
        <f>IFERROR(VLOOKUP(B$5&amp;TEXT($A72,"000"),商品!$B$1:$E$1846,1,FALSE),"")</f>
        <v>03067</v>
      </c>
      <c r="C72" s="20" t="str">
        <f>IFERROR(VLOOKUP(B72,商品!$B$1:$E$1846,2,FALSE),"")</f>
        <v/>
      </c>
      <c r="D72" s="24"/>
      <c r="E72" s="20" t="str">
        <f>IFERROR(VLOOKUP(E$5&amp;TEXT($A72,"000"),商品!$B$1:$E$1846,1,FALSE),"")</f>
        <v/>
      </c>
      <c r="F72" s="20" t="str">
        <f>IFERROR(VLOOKUP(E72,商品!$B$1:$E$1846,2,FALSE),"")</f>
        <v/>
      </c>
      <c r="G72" s="24"/>
      <c r="H72" s="20" t="str">
        <f>IFERROR(VLOOKUP(H$5&amp;TEXT($A72,"000"),商品!$B$1:$E$1846,1,FALSE),"")</f>
        <v/>
      </c>
      <c r="I72" s="20" t="str">
        <f>IFERROR(VLOOKUP(H72,商品!$B$1:$E$1846,2,FALSE),"")</f>
        <v/>
      </c>
      <c r="J72" s="24"/>
      <c r="K72" s="20" t="str">
        <f>IFERROR(VLOOKUP(K$5&amp;TEXT($A72,"000"),商品!$B$1:$E$1846,1,FALSE),"")</f>
        <v/>
      </c>
      <c r="L72" s="20" t="str">
        <f>IFERROR(VLOOKUP(K72,商品!$B$1:$E$1846,2,FALSE),"")</f>
        <v/>
      </c>
      <c r="M72" s="24"/>
      <c r="N72" s="20" t="str">
        <f>IFERROR(VLOOKUP(N$5&amp;TEXT($A72,"000"),商品!$B$1:$E$1846,1,FALSE),"")</f>
        <v/>
      </c>
      <c r="O72" s="20" t="str">
        <f>IFERROR(VLOOKUP(N72,商品!$B$1:$E$1846,2,FALSE),"")</f>
        <v/>
      </c>
      <c r="P72" s="24"/>
      <c r="R72" s="59"/>
      <c r="S72" s="59"/>
      <c r="T72" s="59"/>
      <c r="U72" s="59"/>
    </row>
    <row r="73" spans="1:21" s="5" customFormat="1" ht="31.5" hidden="1" customHeight="1" x14ac:dyDescent="0.15">
      <c r="A73" s="5">
        <v>68</v>
      </c>
      <c r="B73" s="20" t="str">
        <f>IFERROR(VLOOKUP(B$5&amp;TEXT($A73,"000"),商品!$B$1:$E$1846,1,FALSE),"")</f>
        <v>03068</v>
      </c>
      <c r="C73" s="20" t="str">
        <f>IFERROR(VLOOKUP(B73,商品!$B$1:$E$1846,2,FALSE),"")</f>
        <v/>
      </c>
      <c r="D73" s="24"/>
      <c r="E73" s="20" t="str">
        <f>IFERROR(VLOOKUP(E$5&amp;TEXT($A73,"000"),商品!$B$1:$E$1846,1,FALSE),"")</f>
        <v/>
      </c>
      <c r="F73" s="20" t="str">
        <f>IFERROR(VLOOKUP(E73,商品!$B$1:$E$1846,2,FALSE),"")</f>
        <v/>
      </c>
      <c r="G73" s="24"/>
      <c r="H73" s="20" t="str">
        <f>IFERROR(VLOOKUP(H$5&amp;TEXT($A73,"000"),商品!$B$1:$E$1846,1,FALSE),"")</f>
        <v/>
      </c>
      <c r="I73" s="20" t="str">
        <f>IFERROR(VLOOKUP(H73,商品!$B$1:$E$1846,2,FALSE),"")</f>
        <v/>
      </c>
      <c r="J73" s="24"/>
      <c r="K73" s="20" t="str">
        <f>IFERROR(VLOOKUP(K$5&amp;TEXT($A73,"000"),商品!$B$1:$E$1846,1,FALSE),"")</f>
        <v/>
      </c>
      <c r="L73" s="20" t="str">
        <f>IFERROR(VLOOKUP(K73,商品!$B$1:$E$1846,2,FALSE),"")</f>
        <v/>
      </c>
      <c r="M73" s="24"/>
      <c r="N73" s="20" t="str">
        <f>IFERROR(VLOOKUP(N$5&amp;TEXT($A73,"000"),商品!$B$1:$E$1846,1,FALSE),"")</f>
        <v/>
      </c>
      <c r="O73" s="20" t="str">
        <f>IFERROR(VLOOKUP(N73,商品!$B$1:$E$1846,2,FALSE),"")</f>
        <v/>
      </c>
      <c r="P73" s="24"/>
    </row>
    <row r="74" spans="1:21" s="5" customFormat="1" ht="30.75" hidden="1" customHeight="1" x14ac:dyDescent="0.15">
      <c r="A74" s="5">
        <v>69</v>
      </c>
      <c r="B74" s="20" t="str">
        <f>IFERROR(VLOOKUP(B$5&amp;TEXT($A74,"000"),商品!$B$1:$E$1846,1,FALSE),"")</f>
        <v>03069</v>
      </c>
      <c r="C74" s="20" t="str">
        <f>IFERROR(VLOOKUP(B74,商品!$B$1:$E$1846,2,FALSE),"")</f>
        <v/>
      </c>
      <c r="D74" s="24"/>
      <c r="E74" s="20" t="str">
        <f>IFERROR(VLOOKUP(E$5&amp;TEXT($A74,"000"),商品!$B$1:$E$1846,1,FALSE),"")</f>
        <v/>
      </c>
      <c r="F74" s="20" t="str">
        <f>IFERROR(VLOOKUP(E74,商品!$B$1:$E$1846,2,FALSE),"")</f>
        <v/>
      </c>
      <c r="G74" s="24"/>
      <c r="H74" s="20" t="str">
        <f>IFERROR(VLOOKUP(H$5&amp;TEXT($A74,"000"),商品!$B$1:$E$1846,1,FALSE),"")</f>
        <v/>
      </c>
      <c r="I74" s="20" t="str">
        <f>IFERROR(VLOOKUP(H74,商品!$B$1:$E$1846,2,FALSE),"")</f>
        <v/>
      </c>
      <c r="J74" s="24"/>
      <c r="K74" s="20" t="str">
        <f>IFERROR(VLOOKUP(K$5&amp;TEXT($A74,"000"),商品!$B$1:$E$1846,1,FALSE),"")</f>
        <v/>
      </c>
      <c r="L74" s="20" t="str">
        <f>IFERROR(VLOOKUP(K74,商品!$B$1:$E$1846,2,FALSE),"")</f>
        <v/>
      </c>
      <c r="M74" s="24"/>
      <c r="N74" s="20" t="str">
        <f>IFERROR(VLOOKUP(N$5&amp;TEXT($A74,"000"),商品!$B$1:$E$1846,1,FALSE),"")</f>
        <v/>
      </c>
      <c r="O74" s="20" t="str">
        <f>IFERROR(VLOOKUP(N74,商品!$B$1:$E$1846,2,FALSE),"")</f>
        <v/>
      </c>
      <c r="P74" s="24"/>
    </row>
    <row r="75" spans="1:21" s="5" customFormat="1" ht="30.75" hidden="1" customHeight="1" x14ac:dyDescent="0.15">
      <c r="A75" s="5">
        <v>70</v>
      </c>
      <c r="B75" s="20" t="str">
        <f>IFERROR(VLOOKUP(B$5&amp;TEXT($A75,"000"),商品!$B$1:$E$1846,1,FALSE),"")</f>
        <v>03070</v>
      </c>
      <c r="C75" s="20" t="str">
        <f>IFERROR(VLOOKUP(B75,商品!$B$1:$E$1846,2,FALSE),"")</f>
        <v/>
      </c>
      <c r="D75" s="24"/>
      <c r="E75" s="20" t="str">
        <f>IFERROR(VLOOKUP(E$5&amp;TEXT($A75,"000"),商品!$B$1:$E$1846,1,FALSE),"")</f>
        <v/>
      </c>
      <c r="F75" s="20" t="str">
        <f>IFERROR(VLOOKUP(E75,商品!$B$1:$E$1846,2,FALSE),"")</f>
        <v/>
      </c>
      <c r="G75" s="24"/>
      <c r="H75" s="20" t="str">
        <f>IFERROR(VLOOKUP(H$5&amp;TEXT($A75,"000"),商品!$B$1:$E$1846,1,FALSE),"")</f>
        <v/>
      </c>
      <c r="I75" s="20" t="str">
        <f>IFERROR(VLOOKUP(H75,商品!$B$1:$E$1846,2,FALSE),"")</f>
        <v/>
      </c>
      <c r="J75" s="24"/>
      <c r="K75" s="20" t="str">
        <f>IFERROR(VLOOKUP(K$5&amp;TEXT($A75,"000"),商品!$B$1:$E$1846,1,FALSE),"")</f>
        <v/>
      </c>
      <c r="L75" s="20" t="str">
        <f>IFERROR(VLOOKUP(K75,商品!$B$1:$E$1846,2,FALSE),"")</f>
        <v/>
      </c>
      <c r="M75" s="24"/>
      <c r="N75" s="20" t="str">
        <f>IFERROR(VLOOKUP(N$5&amp;TEXT($A75,"000"),商品!$B$1:$E$1846,1,FALSE),"")</f>
        <v/>
      </c>
      <c r="O75" s="20" t="str">
        <f>IFERROR(VLOOKUP(N75,商品!$B$1:$E$1846,2,FALSE),"")</f>
        <v/>
      </c>
      <c r="P75" s="24"/>
    </row>
    <row r="76" spans="1:21" s="5" customFormat="1" ht="30.75" hidden="1" customHeight="1" x14ac:dyDescent="0.15">
      <c r="A76" s="5">
        <v>71</v>
      </c>
      <c r="B76" s="20" t="str">
        <f>IFERROR(VLOOKUP(B$5&amp;TEXT($A76,"000"),商品!$B$1:$E$1846,1,FALSE),"")</f>
        <v/>
      </c>
      <c r="C76" s="20" t="str">
        <f>IFERROR(VLOOKUP(B76,商品!$B$1:$E$1846,2,FALSE),"")</f>
        <v/>
      </c>
      <c r="D76" s="24"/>
      <c r="E76" s="20" t="str">
        <f>IFERROR(VLOOKUP(E$5&amp;TEXT($A76,"000"),商品!$B$1:$E$1846,1,FALSE),"")</f>
        <v/>
      </c>
      <c r="F76" s="20" t="str">
        <f>IFERROR(VLOOKUP(E76,商品!$B$1:$E$1846,2,FALSE),"")</f>
        <v/>
      </c>
      <c r="G76" s="24"/>
      <c r="H76" s="20" t="str">
        <f>IFERROR(VLOOKUP(H$5&amp;TEXT($A76,"000"),商品!$B$1:$E$1846,1,FALSE),"")</f>
        <v/>
      </c>
      <c r="I76" s="20" t="str">
        <f>IFERROR(VLOOKUP(H76,商品!$B$1:$E$1846,2,FALSE),"")</f>
        <v/>
      </c>
      <c r="J76" s="24"/>
      <c r="K76" s="20" t="str">
        <f>IFERROR(VLOOKUP(K$5&amp;TEXT($A76,"000"),商品!$B$1:$E$1846,1,FALSE),"")</f>
        <v/>
      </c>
      <c r="L76" s="20" t="str">
        <f>IFERROR(VLOOKUP(K76,商品!$B$1:$E$1846,2,FALSE),"")</f>
        <v/>
      </c>
      <c r="M76" s="24"/>
      <c r="N76" s="20" t="str">
        <f>IFERROR(VLOOKUP(N$5&amp;TEXT($A76,"000"),商品!$B$1:$E$1846,1,FALSE),"")</f>
        <v/>
      </c>
      <c r="O76" s="20" t="str">
        <f>IFERROR(VLOOKUP(N76,商品!$B$1:$E$1846,2,FALSE),"")</f>
        <v/>
      </c>
      <c r="P76" s="24"/>
      <c r="R76" s="59"/>
      <c r="S76" s="59"/>
      <c r="T76" s="59"/>
      <c r="U76" s="59"/>
    </row>
    <row r="77" spans="1:21" s="5" customFormat="1" ht="30.75" hidden="1" customHeight="1" x14ac:dyDescent="0.15">
      <c r="A77" s="5">
        <v>72</v>
      </c>
      <c r="B77" s="20" t="str">
        <f>IFERROR(VLOOKUP(B$5&amp;TEXT($A77,"000"),商品!$B$1:$E$1846,1,FALSE),"")</f>
        <v/>
      </c>
      <c r="C77" s="20" t="str">
        <f>IFERROR(VLOOKUP(B77,商品!$B$1:$E$1846,2,FALSE),"")</f>
        <v/>
      </c>
      <c r="D77" s="24"/>
      <c r="E77" s="20" t="str">
        <f>IFERROR(VLOOKUP(E$5&amp;TEXT($A77,"000"),商品!$B$1:$E$1846,1,FALSE),"")</f>
        <v/>
      </c>
      <c r="F77" s="20" t="str">
        <f>IFERROR(VLOOKUP(E77,商品!$B$1:$E$1846,2,FALSE),"")</f>
        <v/>
      </c>
      <c r="G77" s="24"/>
      <c r="H77" s="20" t="str">
        <f>IFERROR(VLOOKUP(H$5&amp;TEXT($A77,"000"),商品!$B$1:$E$1846,1,FALSE),"")</f>
        <v/>
      </c>
      <c r="I77" s="20" t="str">
        <f>IFERROR(VLOOKUP(H77,商品!$B$1:$E$1846,2,FALSE),"")</f>
        <v/>
      </c>
      <c r="J77" s="24"/>
      <c r="K77" s="20" t="str">
        <f>IFERROR(VLOOKUP(K$5&amp;TEXT($A77,"000"),商品!$B$1:$E$1846,1,FALSE),"")</f>
        <v/>
      </c>
      <c r="L77" s="20" t="str">
        <f>IFERROR(VLOOKUP(K77,商品!$B$1:$E$1846,2,FALSE),"")</f>
        <v/>
      </c>
      <c r="M77" s="24"/>
      <c r="N77" s="20" t="str">
        <f>IFERROR(VLOOKUP(N$5&amp;TEXT($A77,"000"),商品!$B$1:$E$1846,1,FALSE),"")</f>
        <v/>
      </c>
      <c r="O77" s="20" t="str">
        <f>IFERROR(VLOOKUP(N77,商品!$B$1:$E$1846,2,FALSE),"")</f>
        <v/>
      </c>
      <c r="P77" s="24"/>
      <c r="R77" s="59"/>
      <c r="S77" s="59"/>
      <c r="T77" s="59"/>
      <c r="U77" s="59"/>
    </row>
    <row r="78" spans="1:21" s="5" customFormat="1" ht="31.5" hidden="1" customHeight="1" x14ac:dyDescent="0.15">
      <c r="A78" s="5">
        <v>73</v>
      </c>
      <c r="B78" s="20" t="str">
        <f>IFERROR(VLOOKUP(B$5&amp;TEXT($A78,"000"),商品!$B$1:$E$1846,1,FALSE),"")</f>
        <v/>
      </c>
      <c r="C78" s="20" t="str">
        <f>IFERROR(VLOOKUP(B78,商品!$B$1:$E$1846,2,FALSE),"")</f>
        <v/>
      </c>
      <c r="D78" s="27"/>
      <c r="E78" s="20" t="str">
        <f>IFERROR(VLOOKUP(E$5&amp;TEXT($A78,"000"),商品!$B$1:$E$1846,1,FALSE),"")</f>
        <v/>
      </c>
      <c r="F78" s="20" t="str">
        <f>IFERROR(VLOOKUP(E78,商品!$B$1:$E$1846,2,FALSE),"")</f>
        <v/>
      </c>
      <c r="G78" s="27"/>
      <c r="H78" s="20" t="str">
        <f>IFERROR(VLOOKUP(H$5&amp;TEXT($A78,"000"),商品!$B$1:$E$1846,1,FALSE),"")</f>
        <v/>
      </c>
      <c r="I78" s="20" t="str">
        <f>IFERROR(VLOOKUP(H78,商品!$B$1:$E$1846,2,FALSE),"")</f>
        <v/>
      </c>
      <c r="J78" s="27"/>
      <c r="K78" s="20" t="str">
        <f>IFERROR(VLOOKUP(K$5&amp;TEXT($A78,"000"),商品!$B$1:$E$1846,1,FALSE),"")</f>
        <v/>
      </c>
      <c r="L78" s="20" t="str">
        <f>IFERROR(VLOOKUP(K78,商品!$B$1:$E$1846,2,FALSE),"")</f>
        <v/>
      </c>
      <c r="M78" s="27"/>
      <c r="N78" s="20" t="str">
        <f>IFERROR(VLOOKUP(N$5&amp;TEXT($A78,"000"),商品!$B$1:$E$1846,1,FALSE),"")</f>
        <v/>
      </c>
      <c r="O78" s="20" t="str">
        <f>IFERROR(VLOOKUP(N78,商品!$B$1:$E$1846,2,FALSE),"")</f>
        <v/>
      </c>
      <c r="P78" s="22"/>
      <c r="R78" s="56"/>
      <c r="S78" s="56"/>
      <c r="T78" s="57"/>
      <c r="U78" s="57"/>
    </row>
    <row r="79" spans="1:21" s="5" customFormat="1" ht="31.5" hidden="1" customHeight="1" x14ac:dyDescent="0.15">
      <c r="A79" s="5">
        <v>74</v>
      </c>
      <c r="B79" s="20" t="str">
        <f>IFERROR(VLOOKUP(B$5&amp;TEXT($A79,"000"),商品!$B$1:$E$1846,1,FALSE),"")</f>
        <v/>
      </c>
      <c r="C79" s="20" t="str">
        <f>IFERROR(VLOOKUP(B79,商品!$B$1:$E$1846,2,FALSE),"")</f>
        <v/>
      </c>
      <c r="D79" s="24"/>
      <c r="E79" s="20" t="str">
        <f>IFERROR(VLOOKUP(E$5&amp;TEXT($A79,"000"),商品!$B$1:$E$1846,1,FALSE),"")</f>
        <v/>
      </c>
      <c r="F79" s="20" t="str">
        <f>IFERROR(VLOOKUP(E79,商品!$B$1:$E$1846,2,FALSE),"")</f>
        <v/>
      </c>
      <c r="G79" s="24"/>
      <c r="H79" s="20" t="str">
        <f>IFERROR(VLOOKUP(H$5&amp;TEXT($A79,"000"),商品!$B$1:$E$1846,1,FALSE),"")</f>
        <v/>
      </c>
      <c r="I79" s="20" t="str">
        <f>IFERROR(VLOOKUP(H79,商品!$B$1:$E$1846,2,FALSE),"")</f>
        <v/>
      </c>
      <c r="J79" s="24"/>
      <c r="K79" s="20" t="str">
        <f>IFERROR(VLOOKUP(K$5&amp;TEXT($A79,"000"),商品!$B$1:$E$1846,1,FALSE),"")</f>
        <v/>
      </c>
      <c r="L79" s="20" t="str">
        <f>IFERROR(VLOOKUP(K79,商品!$B$1:$E$1846,2,FALSE),"")</f>
        <v/>
      </c>
      <c r="M79" s="24"/>
      <c r="N79" s="20" t="str">
        <f>IFERROR(VLOOKUP(N$5&amp;TEXT($A79,"000"),商品!$B$1:$E$1846,1,FALSE),"")</f>
        <v/>
      </c>
      <c r="O79" s="20" t="str">
        <f>IFERROR(VLOOKUP(N79,商品!$B$1:$E$1846,2,FALSE),"")</f>
        <v/>
      </c>
      <c r="P79" s="24"/>
      <c r="R79" s="56"/>
      <c r="S79" s="56"/>
      <c r="T79" s="57"/>
      <c r="U79" s="57"/>
    </row>
    <row r="80" spans="1:21" s="5" customFormat="1" ht="31.5" hidden="1" customHeight="1" x14ac:dyDescent="0.15">
      <c r="A80" s="5">
        <v>75</v>
      </c>
      <c r="B80" s="20" t="str">
        <f>IFERROR(VLOOKUP(B$5&amp;TEXT($A80,"000"),商品!$B$1:$E$1846,1,FALSE),"")</f>
        <v/>
      </c>
      <c r="C80" s="20" t="str">
        <f>IFERROR(VLOOKUP(B80,商品!$B$1:$E$1846,2,FALSE),"")</f>
        <v/>
      </c>
      <c r="D80" s="24"/>
      <c r="E80" s="20" t="str">
        <f>IFERROR(VLOOKUP(E$5&amp;TEXT($A80,"000"),商品!$B$1:$E$1846,1,FALSE),"")</f>
        <v/>
      </c>
      <c r="F80" s="20" t="str">
        <f>IFERROR(VLOOKUP(E80,商品!$B$1:$E$1846,2,FALSE),"")</f>
        <v/>
      </c>
      <c r="G80" s="24"/>
      <c r="H80" s="20" t="str">
        <f>IFERROR(VLOOKUP(H$5&amp;TEXT($A80,"000"),商品!$B$1:$E$1846,1,FALSE),"")</f>
        <v/>
      </c>
      <c r="I80" s="20" t="str">
        <f>IFERROR(VLOOKUP(H80,商品!$B$1:$E$1846,2,FALSE),"")</f>
        <v/>
      </c>
      <c r="J80" s="24"/>
      <c r="K80" s="20" t="str">
        <f>IFERROR(VLOOKUP(K$5&amp;TEXT($A80,"000"),商品!$B$1:$E$1846,1,FALSE),"")</f>
        <v/>
      </c>
      <c r="L80" s="20" t="str">
        <f>IFERROR(VLOOKUP(K80,商品!$B$1:$E$1846,2,FALSE),"")</f>
        <v/>
      </c>
      <c r="M80" s="24"/>
      <c r="N80" s="20" t="str">
        <f>IFERROR(VLOOKUP(N$5&amp;TEXT($A80,"000"),商品!$B$1:$E$1846,1,FALSE),"")</f>
        <v/>
      </c>
      <c r="O80" s="20" t="str">
        <f>IFERROR(VLOOKUP(N80,商品!$B$1:$E$1846,2,FALSE),"")</f>
        <v/>
      </c>
      <c r="P80" s="24"/>
      <c r="R80" s="56"/>
      <c r="S80" s="56"/>
      <c r="T80" s="57"/>
      <c r="U80" s="57"/>
    </row>
    <row r="81" spans="1:21" s="5" customFormat="1" ht="31.5" hidden="1" customHeight="1" x14ac:dyDescent="0.15">
      <c r="A81" s="5">
        <v>76</v>
      </c>
      <c r="B81" s="20" t="str">
        <f>IFERROR(VLOOKUP(B$5&amp;TEXT($A81,"000"),商品!$B$1:$E$1846,1,FALSE),"")</f>
        <v/>
      </c>
      <c r="C81" s="20" t="str">
        <f>IFERROR(VLOOKUP(B81,商品!$B$1:$E$1846,2,FALSE),"")</f>
        <v/>
      </c>
      <c r="D81" s="24"/>
      <c r="E81" s="20" t="str">
        <f>IFERROR(VLOOKUP(E$5&amp;TEXT($A81,"000"),商品!$B$1:$E$1846,1,FALSE),"")</f>
        <v/>
      </c>
      <c r="F81" s="20" t="str">
        <f>IFERROR(VLOOKUP(E81,商品!$B$1:$E$1846,2,FALSE),"")</f>
        <v/>
      </c>
      <c r="G81" s="24"/>
      <c r="H81" s="20" t="str">
        <f>IFERROR(VLOOKUP(H$5&amp;TEXT($A81,"000"),商品!$B$1:$E$1846,1,FALSE),"")</f>
        <v/>
      </c>
      <c r="I81" s="20" t="str">
        <f>IFERROR(VLOOKUP(H81,商品!$B$1:$E$1846,2,FALSE),"")</f>
        <v/>
      </c>
      <c r="J81" s="24"/>
      <c r="K81" s="20" t="str">
        <f>IFERROR(VLOOKUP(K$5&amp;TEXT($A81,"000"),商品!$B$1:$E$1846,1,FALSE),"")</f>
        <v/>
      </c>
      <c r="L81" s="20" t="str">
        <f>IFERROR(VLOOKUP(K81,商品!$B$1:$E$1846,2,FALSE),"")</f>
        <v/>
      </c>
      <c r="M81" s="24"/>
      <c r="N81" s="20" t="str">
        <f>IFERROR(VLOOKUP(N$5&amp;TEXT($A81,"000"),商品!$B$1:$E$1846,1,FALSE),"")</f>
        <v/>
      </c>
      <c r="O81" s="20" t="str">
        <f>IFERROR(VLOOKUP(N81,商品!$B$1:$E$1846,2,FALSE),"")</f>
        <v/>
      </c>
      <c r="P81" s="24"/>
      <c r="R81" s="56"/>
      <c r="S81" s="58"/>
      <c r="T81" s="58"/>
      <c r="U81" s="58"/>
    </row>
    <row r="82" spans="1:21" s="5" customFormat="1" ht="31.5" hidden="1" customHeight="1" x14ac:dyDescent="0.15">
      <c r="A82" s="5">
        <v>77</v>
      </c>
      <c r="B82" s="20" t="str">
        <f>IFERROR(VLOOKUP(B$5&amp;TEXT($A82,"000"),商品!$B$1:$E$1846,1,FALSE),"")</f>
        <v/>
      </c>
      <c r="C82" s="20" t="str">
        <f>IFERROR(VLOOKUP(B82,商品!$B$1:$E$1846,2,FALSE),"")</f>
        <v/>
      </c>
      <c r="D82" s="24"/>
      <c r="E82" s="20" t="str">
        <f>IFERROR(VLOOKUP(E$5&amp;TEXT($A82,"000"),商品!$B$1:$E$1846,1,FALSE),"")</f>
        <v/>
      </c>
      <c r="F82" s="20" t="str">
        <f>IFERROR(VLOOKUP(E82,商品!$B$1:$E$1846,2,FALSE),"")</f>
        <v/>
      </c>
      <c r="G82" s="24"/>
      <c r="H82" s="20" t="str">
        <f>IFERROR(VLOOKUP(H$5&amp;TEXT($A82,"000"),商品!$B$1:$E$1846,1,FALSE),"")</f>
        <v/>
      </c>
      <c r="I82" s="20" t="str">
        <f>IFERROR(VLOOKUP(H82,商品!$B$1:$E$1846,2,FALSE),"")</f>
        <v/>
      </c>
      <c r="J82" s="24"/>
      <c r="K82" s="20" t="str">
        <f>IFERROR(VLOOKUP(K$5&amp;TEXT($A82,"000"),商品!$B$1:$E$1846,1,FALSE),"")</f>
        <v/>
      </c>
      <c r="L82" s="20" t="str">
        <f>IFERROR(VLOOKUP(K82,商品!$B$1:$E$1846,2,FALSE),"")</f>
        <v/>
      </c>
      <c r="M82" s="24"/>
      <c r="N82" s="20" t="str">
        <f>IFERROR(VLOOKUP(N$5&amp;TEXT($A82,"000"),商品!$B$1:$E$1846,1,FALSE),"")</f>
        <v/>
      </c>
      <c r="O82" s="20" t="str">
        <f>IFERROR(VLOOKUP(N82,商品!$B$1:$E$1846,2,FALSE),"")</f>
        <v/>
      </c>
      <c r="P82" s="24"/>
      <c r="R82" s="56"/>
      <c r="S82" s="58"/>
      <c r="T82" s="58"/>
      <c r="U82" s="58"/>
    </row>
    <row r="83" spans="1:21" s="5" customFormat="1" ht="30.75" hidden="1" customHeight="1" x14ac:dyDescent="0.15">
      <c r="A83" s="5">
        <v>78</v>
      </c>
      <c r="B83" s="20" t="str">
        <f>IFERROR(VLOOKUP(B$5&amp;TEXT($A83,"000"),商品!$B$1:$E$1846,1,FALSE),"")</f>
        <v/>
      </c>
      <c r="C83" s="20" t="str">
        <f>IFERROR(VLOOKUP(B83,商品!$B$1:$E$1846,2,FALSE),"")</f>
        <v/>
      </c>
      <c r="D83" s="29"/>
      <c r="E83" s="20" t="str">
        <f>IFERROR(VLOOKUP(E$5&amp;TEXT($A83,"000"),商品!$B$1:$E$1846,1,FALSE),"")</f>
        <v/>
      </c>
      <c r="F83" s="20" t="str">
        <f>IFERROR(VLOOKUP(E83,商品!$B$1:$E$1846,2,FALSE),"")</f>
        <v/>
      </c>
      <c r="G83" s="29"/>
      <c r="H83" s="20" t="str">
        <f>IFERROR(VLOOKUP(H$5&amp;TEXT($A83,"000"),商品!$B$1:$E$1846,1,FALSE),"")</f>
        <v/>
      </c>
      <c r="I83" s="20" t="str">
        <f>IFERROR(VLOOKUP(H83,商品!$B$1:$E$1846,2,FALSE),"")</f>
        <v/>
      </c>
      <c r="J83" s="29"/>
      <c r="K83" s="20" t="str">
        <f>IFERROR(VLOOKUP(K$5&amp;TEXT($A83,"000"),商品!$B$1:$E$1846,1,FALSE),"")</f>
        <v/>
      </c>
      <c r="L83" s="20" t="str">
        <f>IFERROR(VLOOKUP(K83,商品!$B$1:$E$1846,2,FALSE),"")</f>
        <v/>
      </c>
      <c r="M83" s="29"/>
      <c r="N83" s="20" t="str">
        <f>IFERROR(VLOOKUP(N$5&amp;TEXT($A83,"000"),商品!$B$1:$E$1846,1,FALSE),"")</f>
        <v/>
      </c>
      <c r="O83" s="20" t="str">
        <f>IFERROR(VLOOKUP(N83,商品!$B$1:$E$1846,2,FALSE),"")</f>
        <v/>
      </c>
      <c r="P83" s="24"/>
    </row>
    <row r="84" spans="1:21" s="5" customFormat="1" ht="31.5" hidden="1" customHeight="1" x14ac:dyDescent="0.15">
      <c r="A84" s="5">
        <v>79</v>
      </c>
      <c r="B84" s="20" t="str">
        <f>IFERROR(VLOOKUP(B$5&amp;TEXT($A84,"000"),商品!$B$1:$E$1846,1,FALSE),"")</f>
        <v/>
      </c>
      <c r="C84" s="20" t="str">
        <f>IFERROR(VLOOKUP(B84,商品!$B$1:$E$1846,2,FALSE),"")</f>
        <v/>
      </c>
      <c r="D84" s="24"/>
      <c r="E84" s="20" t="str">
        <f>IFERROR(VLOOKUP(E$5&amp;TEXT($A84,"000"),商品!$B$1:$E$1846,1,FALSE),"")</f>
        <v/>
      </c>
      <c r="F84" s="20" t="str">
        <f>IFERROR(VLOOKUP(E84,商品!$B$1:$E$1846,2,FALSE),"")</f>
        <v/>
      </c>
      <c r="G84" s="24"/>
      <c r="H84" s="20" t="str">
        <f>IFERROR(VLOOKUP(H$5&amp;TEXT($A84,"000"),商品!$B$1:$E$1846,1,FALSE),"")</f>
        <v/>
      </c>
      <c r="I84" s="20" t="str">
        <f>IFERROR(VLOOKUP(H84,商品!$B$1:$E$1846,2,FALSE),"")</f>
        <v/>
      </c>
      <c r="J84" s="24"/>
      <c r="K84" s="20" t="str">
        <f>IFERROR(VLOOKUP(K$5&amp;TEXT($A84,"000"),商品!$B$1:$E$1846,1,FALSE),"")</f>
        <v/>
      </c>
      <c r="L84" s="20" t="str">
        <f>IFERROR(VLOOKUP(K84,商品!$B$1:$E$1846,2,FALSE),"")</f>
        <v/>
      </c>
      <c r="M84" s="24"/>
      <c r="N84" s="20" t="str">
        <f>IFERROR(VLOOKUP(N$5&amp;TEXT($A84,"000"),商品!$B$1:$E$1846,1,FALSE),"")</f>
        <v/>
      </c>
      <c r="O84" s="20" t="str">
        <f>IFERROR(VLOOKUP(N84,商品!$B$1:$E$1846,2,FALSE),"")</f>
        <v/>
      </c>
      <c r="P84" s="24"/>
    </row>
    <row r="85" spans="1:21" s="5" customFormat="1" ht="30.75" hidden="1" customHeight="1" x14ac:dyDescent="0.15">
      <c r="A85" s="5">
        <v>80</v>
      </c>
      <c r="B85" s="20" t="str">
        <f>IFERROR(VLOOKUP(B$5&amp;TEXT($A85,"000"),商品!$B$1:$E$1846,1,FALSE),"")</f>
        <v/>
      </c>
      <c r="C85" s="20" t="str">
        <f>IFERROR(VLOOKUP(B85,商品!$B$1:$E$1846,2,FALSE),"")</f>
        <v/>
      </c>
      <c r="D85" s="29"/>
      <c r="E85" s="20" t="str">
        <f>IFERROR(VLOOKUP(E$5&amp;TEXT($A85,"000"),商品!$B$1:$E$1846,1,FALSE),"")</f>
        <v/>
      </c>
      <c r="F85" s="20" t="str">
        <f>IFERROR(VLOOKUP(E85,商品!$B$1:$E$1846,2,FALSE),"")</f>
        <v/>
      </c>
      <c r="G85" s="29"/>
      <c r="H85" s="20" t="str">
        <f>IFERROR(VLOOKUP(H$5&amp;TEXT($A85,"000"),商品!$B$1:$E$1846,1,FALSE),"")</f>
        <v/>
      </c>
      <c r="I85" s="20" t="str">
        <f>IFERROR(VLOOKUP(H85,商品!$B$1:$E$1846,2,FALSE),"")</f>
        <v/>
      </c>
      <c r="J85" s="29"/>
      <c r="K85" s="20" t="str">
        <f>IFERROR(VLOOKUP(K$5&amp;TEXT($A85,"000"),商品!$B$1:$E$1846,1,FALSE),"")</f>
        <v/>
      </c>
      <c r="L85" s="20" t="str">
        <f>IFERROR(VLOOKUP(K85,商品!$B$1:$E$1846,2,FALSE),"")</f>
        <v/>
      </c>
      <c r="M85" s="29"/>
      <c r="N85" s="20" t="str">
        <f>IFERROR(VLOOKUP(N$5&amp;TEXT($A85,"000"),商品!$B$1:$E$1846,1,FALSE),"")</f>
        <v/>
      </c>
      <c r="O85" s="20" t="str">
        <f>IFERROR(VLOOKUP(N85,商品!$B$1:$E$1846,2,FALSE),"")</f>
        <v/>
      </c>
      <c r="P85" s="24"/>
    </row>
    <row r="86" spans="1:21" s="5" customFormat="1" ht="30.75" hidden="1" customHeight="1" thickBot="1" x14ac:dyDescent="0.2">
      <c r="A86" s="5">
        <v>81</v>
      </c>
      <c r="B86" s="35" t="str">
        <f>IFERROR(VLOOKUP(B$5&amp;TEXT($A86,"000"),商品!$B$1:$E$1846,1,FALSE),"")</f>
        <v/>
      </c>
      <c r="C86" s="35" t="str">
        <f>IFERROR(VLOOKUP(B86,商品!$B$1:$E$1846,2,FALSE),"")</f>
        <v/>
      </c>
      <c r="D86" s="36"/>
      <c r="E86" s="35" t="str">
        <f>IFERROR(VLOOKUP(E$5&amp;TEXT($A86,"000"),商品!$B$1:$E$1846,1,FALSE),"")</f>
        <v/>
      </c>
      <c r="F86" s="35" t="str">
        <f>IFERROR(VLOOKUP(E86,商品!$B$1:$E$1846,2,FALSE),"")</f>
        <v/>
      </c>
      <c r="G86" s="36"/>
      <c r="H86" s="35" t="str">
        <f>IFERROR(VLOOKUP(H$5&amp;TEXT($A86,"000"),商品!$B$1:$E$1846,1,FALSE),"")</f>
        <v/>
      </c>
      <c r="I86" s="35" t="str">
        <f>IFERROR(VLOOKUP(H86,商品!$B$1:$E$1846,2,FALSE),"")</f>
        <v/>
      </c>
      <c r="J86" s="36"/>
      <c r="K86" s="35" t="str">
        <f>IFERROR(VLOOKUP(K$5&amp;TEXT($A86,"000"),商品!$B$1:$E$1846,1,FALSE),"")</f>
        <v/>
      </c>
      <c r="L86" s="35" t="str">
        <f>IFERROR(VLOOKUP(K86,商品!$B$1:$E$1846,2,FALSE),"")</f>
        <v/>
      </c>
      <c r="M86" s="36"/>
      <c r="N86" s="35" t="str">
        <f>IFERROR(VLOOKUP(N$5&amp;TEXT($A86,"000"),商品!$B$1:$E$1846,1,FALSE),"")</f>
        <v/>
      </c>
      <c r="O86" s="35" t="str">
        <f>IFERROR(VLOOKUP(N86,商品!$B$1:$E$1846,2,FALSE),"")</f>
        <v/>
      </c>
      <c r="P86" s="37"/>
    </row>
    <row r="87" spans="1:21" s="5" customFormat="1" ht="30.75" customHeight="1" thickTop="1" x14ac:dyDescent="0.15">
      <c r="B87" s="38" t="s">
        <v>26</v>
      </c>
      <c r="C87" s="38" t="str">
        <f>C$5</f>
        <v>健康管理食選択型</v>
      </c>
      <c r="D87" s="39">
        <f>SUM(D6:D86)</f>
        <v>72</v>
      </c>
      <c r="E87" s="38" t="s">
        <v>26</v>
      </c>
      <c r="F87" s="38" t="e">
        <f>F$5</f>
        <v>#N/A</v>
      </c>
      <c r="G87" s="39">
        <f>SUM(G6:G86)</f>
        <v>0</v>
      </c>
      <c r="H87" s="38" t="s">
        <v>26</v>
      </c>
      <c r="I87" s="38" t="e">
        <f>I$5</f>
        <v>#N/A</v>
      </c>
      <c r="J87" s="39">
        <f>SUM(J6:J86)</f>
        <v>0</v>
      </c>
      <c r="K87" s="38" t="s">
        <v>26</v>
      </c>
      <c r="L87" s="38" t="e">
        <f>L$5</f>
        <v>#N/A</v>
      </c>
      <c r="M87" s="39">
        <f>SUM(M6:M86)</f>
        <v>0</v>
      </c>
      <c r="N87" s="38" t="s">
        <v>26</v>
      </c>
      <c r="O87" s="38" t="e">
        <f>O$5</f>
        <v>#N/A</v>
      </c>
      <c r="P87" s="40">
        <f>SUM(P6:P86)</f>
        <v>0</v>
      </c>
    </row>
    <row r="88" spans="1:21" ht="30.75" customHeight="1" x14ac:dyDescent="0.15">
      <c r="G88" s="3"/>
    </row>
  </sheetData>
  <sheetProtection algorithmName="SHA-512" hashValue="6g0GN5OPeiaD1Wp1y93268kE9sgmSVus4/LX4o1sBMcqOuUxyNxYpmPFzGToKhoiXOlr9R+GJjKXuUHjFpvWOA==" saltValue="IvogHiDZEZM/+5baaxcQcA==" spinCount="100000" sheet="1" objects="1" scenarios="1"/>
  <mergeCells count="59">
    <mergeCell ref="R10:U11"/>
    <mergeCell ref="R12:U14"/>
    <mergeCell ref="L1:M1"/>
    <mergeCell ref="R15:U16"/>
    <mergeCell ref="R17:U19"/>
    <mergeCell ref="O1:P1"/>
    <mergeCell ref="B1:E1"/>
    <mergeCell ref="I1:J1"/>
    <mergeCell ref="R5:U6"/>
    <mergeCell ref="R7:U9"/>
    <mergeCell ref="D3:F3"/>
    <mergeCell ref="R58:S58"/>
    <mergeCell ref="T58:U58"/>
    <mergeCell ref="R59:S59"/>
    <mergeCell ref="T59:U59"/>
    <mergeCell ref="R23:U24"/>
    <mergeCell ref="R33:R34"/>
    <mergeCell ref="S33:U34"/>
    <mergeCell ref="R28:U29"/>
    <mergeCell ref="R30:S30"/>
    <mergeCell ref="T30:U30"/>
    <mergeCell ref="R31:S31"/>
    <mergeCell ref="R32:S32"/>
    <mergeCell ref="T32:U32"/>
    <mergeCell ref="T31:U31"/>
    <mergeCell ref="R60:S60"/>
    <mergeCell ref="T60:U60"/>
    <mergeCell ref="R61:R62"/>
    <mergeCell ref="S61:U62"/>
    <mergeCell ref="R37:U38"/>
    <mergeCell ref="R42:U43"/>
    <mergeCell ref="R44:S44"/>
    <mergeCell ref="T44:U44"/>
    <mergeCell ref="R45:S45"/>
    <mergeCell ref="T45:U45"/>
    <mergeCell ref="R46:S46"/>
    <mergeCell ref="T46:U46"/>
    <mergeCell ref="R47:R48"/>
    <mergeCell ref="S47:U48"/>
    <mergeCell ref="R51:U52"/>
    <mergeCell ref="R56:U57"/>
    <mergeCell ref="R64:S64"/>
    <mergeCell ref="T64:U64"/>
    <mergeCell ref="R65:S65"/>
    <mergeCell ref="T65:U65"/>
    <mergeCell ref="R66:S66"/>
    <mergeCell ref="T66:U66"/>
    <mergeCell ref="R67:R68"/>
    <mergeCell ref="S67:U68"/>
    <mergeCell ref="R71:U72"/>
    <mergeCell ref="R76:U77"/>
    <mergeCell ref="R78:S78"/>
    <mergeCell ref="T78:U78"/>
    <mergeCell ref="R79:S79"/>
    <mergeCell ref="T79:U79"/>
    <mergeCell ref="R80:S80"/>
    <mergeCell ref="T80:U80"/>
    <mergeCell ref="R81:R82"/>
    <mergeCell ref="S81:U82"/>
  </mergeCells>
  <phoneticPr fontId="3"/>
  <pageMargins left="0.78740157480314965" right="0" top="0.39370078740157483" bottom="0.39370078740157483" header="0.39370078740157483" footer="0.19685039370078741"/>
  <pageSetup paperSize="9" scale="55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8566B7-98F8-42E4-97E8-4D12B52F7D8D}">
          <x14:formula1>
            <xm:f>商品分類!$A$2:$A$66</xm:f>
          </x14:formula1>
          <xm:sqref>B5 N5 K5 H5 E5</xm:sqref>
        </x14:dataValidation>
        <x14:dataValidation type="list" allowBlank="1" showInputMessage="1" showErrorMessage="1" xr:uid="{1953014E-C41D-4E2A-85AD-2DB08F8385AE}">
          <x14:formula1>
            <xm:f>商品分類!$B$2:$B$50</xm:f>
          </x14:formula1>
          <xm:sqref>R5:U6 R10:U11 R15:U16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FE70-83B9-4549-8B94-CE7D1463C3AE}">
  <dimension ref="A1:K409"/>
  <sheetViews>
    <sheetView topLeftCell="A75" workbookViewId="0">
      <selection activeCell="H85" sqref="H85"/>
    </sheetView>
  </sheetViews>
  <sheetFormatPr defaultColWidth="9" defaultRowHeight="13.5" x14ac:dyDescent="0.15"/>
  <cols>
    <col min="1" max="1" width="9" style="33"/>
    <col min="2" max="2" width="10.125" style="33" bestFit="1" customWidth="1"/>
    <col min="3" max="3" width="11.875" style="33" bestFit="1" customWidth="1"/>
    <col min="4" max="4" width="25.625" style="33" bestFit="1" customWidth="1"/>
    <col min="5" max="5" width="9.5" style="33" bestFit="1" customWidth="1"/>
    <col min="6" max="6" width="9.875" style="33" bestFit="1" customWidth="1"/>
    <col min="7" max="7" width="13.75" style="33" bestFit="1" customWidth="1"/>
    <col min="8" max="8" width="5.25" style="33" bestFit="1" customWidth="1"/>
    <col min="9" max="10" width="9" style="33"/>
    <col min="11" max="11" width="13.125" style="33" bestFit="1" customWidth="1"/>
    <col min="12" max="16384" width="9" style="33"/>
  </cols>
  <sheetData>
    <row r="1" spans="1:11" x14ac:dyDescent="0.15">
      <c r="A1" s="32" t="s">
        <v>25</v>
      </c>
      <c r="B1" s="33" t="s">
        <v>56</v>
      </c>
      <c r="C1" s="33" t="s">
        <v>21</v>
      </c>
      <c r="D1" s="33" t="s">
        <v>22</v>
      </c>
      <c r="E1" s="33" t="s">
        <v>0</v>
      </c>
      <c r="F1" s="33" t="s">
        <v>3</v>
      </c>
      <c r="G1" s="33" t="s">
        <v>23</v>
      </c>
      <c r="H1" s="33" t="s">
        <v>2</v>
      </c>
      <c r="I1" s="33" t="s">
        <v>57</v>
      </c>
      <c r="J1" s="33" t="s">
        <v>301</v>
      </c>
      <c r="K1" s="33" t="s">
        <v>302</v>
      </c>
    </row>
    <row r="2" spans="1:11" x14ac:dyDescent="0.15">
      <c r="A2" s="33">
        <f>ROW()-1</f>
        <v>1</v>
      </c>
      <c r="B2" s="33">
        <v>2</v>
      </c>
      <c r="C2" s="33" t="str">
        <f>発注書!$C$3</f>
        <v>bb02787</v>
      </c>
      <c r="D2" s="33" t="str">
        <f>発注書!$D$3</f>
        <v>イルミナジョブ＆カレッジ千葉中央校</v>
      </c>
      <c r="E2" s="34" t="str">
        <f>発注書!$I$1</f>
        <v xml:space="preserve">2025年12月9日	</v>
      </c>
      <c r="F2" s="33" t="str">
        <f>IF(IFERROR(VLOOKUP(発注書!R5,商品分類!$B$2:$C$81,2,FALSE),"")="","",IFERROR(VLOOKUP(発注書!R5,商品分類!$B$2:$C$81,2,FALSE),"")&amp;"001")</f>
        <v>36001</v>
      </c>
      <c r="G2" s="33" t="str">
        <f>IF(発注書!R5="","",発注書!R5)</f>
        <v>180gライス</v>
      </c>
      <c r="H2" s="33">
        <f>発注書!R7</f>
        <v>72</v>
      </c>
      <c r="I2" s="33">
        <v>0</v>
      </c>
      <c r="J2" s="33" t="str">
        <f>LEFT(F2,2)</f>
        <v>36</v>
      </c>
      <c r="K2" s="33" t="str">
        <f>発注書!$R$5</f>
        <v>180gライス</v>
      </c>
    </row>
    <row r="3" spans="1:11" x14ac:dyDescent="0.15">
      <c r="A3" s="33">
        <f t="shared" ref="A3:A167" si="0">ROW()-1</f>
        <v>2</v>
      </c>
      <c r="B3" s="33">
        <v>2</v>
      </c>
      <c r="C3" s="33" t="str">
        <f>発注書!$C$3</f>
        <v>bb02787</v>
      </c>
      <c r="D3" s="33" t="str">
        <f>発注書!$D$3</f>
        <v>イルミナジョブ＆カレッジ千葉中央校</v>
      </c>
      <c r="E3" s="34" t="str">
        <f>発注書!$I$1</f>
        <v xml:space="preserve">2025年12月9日	</v>
      </c>
      <c r="F3" s="33" t="str">
        <f>IF(IFERROR(VLOOKUP(発注書!R10,商品分類!$B$2:$C$81,2,FALSE),"")="","",IFERROR(VLOOKUP(発注書!R10,商品分類!$B$2:$C$81,2,FALSE),"")&amp;"001")</f>
        <v>37001</v>
      </c>
      <c r="G3" s="33" t="str">
        <f>IF(発注書!R10="","",発注書!R10)</f>
        <v>150gライス</v>
      </c>
      <c r="H3" s="33">
        <f>発注書!R12</f>
        <v>0</v>
      </c>
      <c r="I3" s="33">
        <v>0</v>
      </c>
      <c r="J3" s="33" t="str">
        <f t="shared" ref="J3:J112" si="1">LEFT(F3,2)</f>
        <v>37</v>
      </c>
      <c r="K3" s="33" t="str">
        <f>発注書!$R$10</f>
        <v>150gライス</v>
      </c>
    </row>
    <row r="4" spans="1:11" x14ac:dyDescent="0.15">
      <c r="A4" s="33">
        <f t="shared" si="0"/>
        <v>3</v>
      </c>
      <c r="B4" s="33">
        <v>2</v>
      </c>
      <c r="C4" s="33" t="str">
        <f>発注書!$C$3</f>
        <v>bb02787</v>
      </c>
      <c r="D4" s="33" t="str">
        <f>発注書!$D$3</f>
        <v>イルミナジョブ＆カレッジ千葉中央校</v>
      </c>
      <c r="E4" s="34" t="str">
        <f>発注書!$I$1</f>
        <v xml:space="preserve">2025年12月9日	</v>
      </c>
      <c r="F4" s="33" t="str">
        <f>IF(IFERROR(VLOOKUP(発注書!R15,商品分類!$B$2:$C$81,2,FALSE),"")="","",IFERROR(VLOOKUP(発注書!R15,商品分類!$B$2:$C$81,2,FALSE),"")&amp;"001")</f>
        <v/>
      </c>
      <c r="G4" s="33" t="str">
        <f>IF(発注書!R15="","",発注書!R15)</f>
        <v/>
      </c>
      <c r="H4" s="33">
        <f>発注書!R17</f>
        <v>0</v>
      </c>
      <c r="I4" s="33">
        <v>0</v>
      </c>
      <c r="J4" s="33" t="str">
        <f t="shared" si="1"/>
        <v/>
      </c>
      <c r="K4" s="33">
        <f>発注書!$R$15</f>
        <v>0</v>
      </c>
    </row>
    <row r="5" spans="1:11" x14ac:dyDescent="0.15">
      <c r="A5" s="33">
        <f t="shared" si="0"/>
        <v>4</v>
      </c>
      <c r="B5" s="33">
        <v>2</v>
      </c>
      <c r="C5" s="33" t="str">
        <f>発注書!$C$3</f>
        <v>bb02787</v>
      </c>
      <c r="D5" s="33" t="str">
        <f>発注書!$D$3</f>
        <v>イルミナジョブ＆カレッジ千葉中央校</v>
      </c>
      <c r="E5" s="34" t="str">
        <f>発注書!$I$1</f>
        <v xml:space="preserve">2025年12月9日	</v>
      </c>
      <c r="F5" s="33" t="str">
        <f>発注書!B6</f>
        <v>03001</v>
      </c>
      <c r="G5" s="33" t="str">
        <f>発注書!C6</f>
        <v>たらの牛だしあん</v>
      </c>
      <c r="H5" s="33">
        <f>発注書!D6</f>
        <v>0</v>
      </c>
      <c r="I5" s="33">
        <v>0</v>
      </c>
      <c r="J5" s="33" t="str">
        <f t="shared" si="1"/>
        <v>03</v>
      </c>
      <c r="K5" s="33" t="str">
        <f>発注書!$C$5</f>
        <v>健康管理食選択型</v>
      </c>
    </row>
    <row r="6" spans="1:11" x14ac:dyDescent="0.15">
      <c r="A6" s="33">
        <f t="shared" si="0"/>
        <v>5</v>
      </c>
      <c r="B6" s="33">
        <v>2</v>
      </c>
      <c r="C6" s="33" t="str">
        <f>発注書!$C$3</f>
        <v>bb02787</v>
      </c>
      <c r="D6" s="33" t="str">
        <f>発注書!$D$3</f>
        <v>イルミナジョブ＆カレッジ千葉中央校</v>
      </c>
      <c r="E6" s="34" t="str">
        <f>発注書!$I$1</f>
        <v xml:space="preserve">2025年12月9日	</v>
      </c>
      <c r="F6" s="33" t="str">
        <f>発注書!B7</f>
        <v>03002</v>
      </c>
      <c r="G6" s="33" t="str">
        <f>発注書!C7</f>
        <v>豚バラ肉の豆乳ソースがけ</v>
      </c>
      <c r="H6" s="33">
        <f>発注書!D7</f>
        <v>4</v>
      </c>
      <c r="I6" s="33">
        <v>0</v>
      </c>
      <c r="J6" s="33" t="str">
        <f t="shared" si="1"/>
        <v>03</v>
      </c>
      <c r="K6" s="33" t="str">
        <f>発注書!$C$5</f>
        <v>健康管理食選択型</v>
      </c>
    </row>
    <row r="7" spans="1:11" x14ac:dyDescent="0.15">
      <c r="A7" s="33">
        <f t="shared" si="0"/>
        <v>6</v>
      </c>
      <c r="B7" s="33">
        <v>2</v>
      </c>
      <c r="C7" s="33" t="str">
        <f>発注書!$C$3</f>
        <v>bb02787</v>
      </c>
      <c r="D7" s="33" t="str">
        <f>発注書!$D$3</f>
        <v>イルミナジョブ＆カレッジ千葉中央校</v>
      </c>
      <c r="E7" s="34" t="str">
        <f>発注書!$I$1</f>
        <v xml:space="preserve">2025年12月9日	</v>
      </c>
      <c r="F7" s="33" t="str">
        <f>発注書!B8</f>
        <v>03003</v>
      </c>
      <c r="G7" s="33" t="str">
        <f>発注書!C8</f>
        <v>エビカツ</v>
      </c>
      <c r="H7" s="33">
        <f>発注書!D8</f>
        <v>4</v>
      </c>
      <c r="I7" s="33">
        <v>0</v>
      </c>
      <c r="J7" s="33" t="str">
        <f t="shared" si="1"/>
        <v>03</v>
      </c>
      <c r="K7" s="33" t="str">
        <f>発注書!$C$5</f>
        <v>健康管理食選択型</v>
      </c>
    </row>
    <row r="8" spans="1:11" x14ac:dyDescent="0.15">
      <c r="A8" s="33">
        <f t="shared" si="0"/>
        <v>7</v>
      </c>
      <c r="B8" s="33">
        <v>2</v>
      </c>
      <c r="C8" s="33" t="str">
        <f>発注書!$C$3</f>
        <v>bb02787</v>
      </c>
      <c r="D8" s="33" t="str">
        <f>発注書!$D$3</f>
        <v>イルミナジョブ＆カレッジ千葉中央校</v>
      </c>
      <c r="E8" s="34" t="str">
        <f>発注書!$I$1</f>
        <v xml:space="preserve">2025年12月9日	</v>
      </c>
      <c r="F8" s="33" t="str">
        <f>発注書!B9</f>
        <v>03004</v>
      </c>
      <c r="G8" s="33" t="str">
        <f>発注書!C9</f>
        <v>鶏のから揚げ</v>
      </c>
      <c r="H8" s="33">
        <f>発注書!D9</f>
        <v>4</v>
      </c>
      <c r="I8" s="33">
        <v>0</v>
      </c>
      <c r="J8" s="33" t="str">
        <f t="shared" si="1"/>
        <v>03</v>
      </c>
      <c r="K8" s="33" t="str">
        <f>発注書!$C$5</f>
        <v>健康管理食選択型</v>
      </c>
    </row>
    <row r="9" spans="1:11" x14ac:dyDescent="0.15">
      <c r="A9" s="33">
        <f t="shared" si="0"/>
        <v>8</v>
      </c>
      <c r="B9" s="33">
        <v>2</v>
      </c>
      <c r="C9" s="33" t="str">
        <f>発注書!$C$3</f>
        <v>bb02787</v>
      </c>
      <c r="D9" s="33" t="str">
        <f>発注書!$D$3</f>
        <v>イルミナジョブ＆カレッジ千葉中央校</v>
      </c>
      <c r="E9" s="34" t="str">
        <f>発注書!$I$1</f>
        <v xml:space="preserve">2025年12月9日	</v>
      </c>
      <c r="F9" s="33" t="str">
        <f>発注書!B10</f>
        <v>03005</v>
      </c>
      <c r="G9" s="33" t="str">
        <f>発注書!C10</f>
        <v>すき焼き風煮</v>
      </c>
      <c r="H9" s="33">
        <f>発注書!D10</f>
        <v>8</v>
      </c>
      <c r="I9" s="33">
        <v>0</v>
      </c>
      <c r="J9" s="33" t="str">
        <f t="shared" si="1"/>
        <v>03</v>
      </c>
      <c r="K9" s="33" t="str">
        <f>発注書!$C$5</f>
        <v>健康管理食選択型</v>
      </c>
    </row>
    <row r="10" spans="1:11" x14ac:dyDescent="0.15">
      <c r="A10" s="33">
        <f t="shared" si="0"/>
        <v>9</v>
      </c>
      <c r="B10" s="33">
        <v>2</v>
      </c>
      <c r="C10" s="33" t="str">
        <f>発注書!$C$3</f>
        <v>bb02787</v>
      </c>
      <c r="D10" s="33" t="str">
        <f>発注書!$D$3</f>
        <v>イルミナジョブ＆カレッジ千葉中央校</v>
      </c>
      <c r="E10" s="34" t="str">
        <f>発注書!$I$1</f>
        <v xml:space="preserve">2025年12月9日	</v>
      </c>
      <c r="F10" s="33" t="str">
        <f>発注書!B11</f>
        <v>03006</v>
      </c>
      <c r="G10" s="33" t="str">
        <f>発注書!C11</f>
        <v>鶏肉のタンドリー風焼き</v>
      </c>
      <c r="H10" s="33">
        <f>発注書!D11</f>
        <v>4</v>
      </c>
      <c r="I10" s="33">
        <v>0</v>
      </c>
      <c r="J10" s="33" t="str">
        <f t="shared" si="1"/>
        <v>03</v>
      </c>
      <c r="K10" s="33" t="str">
        <f>発注書!$C$5</f>
        <v>健康管理食選択型</v>
      </c>
    </row>
    <row r="11" spans="1:11" x14ac:dyDescent="0.15">
      <c r="A11" s="33">
        <f t="shared" si="0"/>
        <v>10</v>
      </c>
      <c r="B11" s="33">
        <v>2</v>
      </c>
      <c r="C11" s="33" t="str">
        <f>発注書!$C$3</f>
        <v>bb02787</v>
      </c>
      <c r="D11" s="33" t="str">
        <f>発注書!$D$3</f>
        <v>イルミナジョブ＆カレッジ千葉中央校</v>
      </c>
      <c r="E11" s="34" t="str">
        <f>発注書!$I$1</f>
        <v xml:space="preserve">2025年12月9日	</v>
      </c>
      <c r="F11" s="33" t="str">
        <f>発注書!B12</f>
        <v>03007</v>
      </c>
      <c r="G11" s="33" t="str">
        <f>発注書!C12</f>
        <v>トマトソースのチーズハンバーグ</v>
      </c>
      <c r="H11" s="33">
        <f>発注書!D12</f>
        <v>4</v>
      </c>
      <c r="I11" s="33">
        <v>0</v>
      </c>
      <c r="J11" s="33" t="str">
        <f t="shared" si="1"/>
        <v>03</v>
      </c>
      <c r="K11" s="33" t="str">
        <f>発注書!$C$5</f>
        <v>健康管理食選択型</v>
      </c>
    </row>
    <row r="12" spans="1:11" x14ac:dyDescent="0.15">
      <c r="A12" s="33">
        <f t="shared" si="0"/>
        <v>11</v>
      </c>
      <c r="B12" s="33">
        <v>2</v>
      </c>
      <c r="C12" s="33" t="str">
        <f>発注書!$C$3</f>
        <v>bb02787</v>
      </c>
      <c r="D12" s="33" t="str">
        <f>発注書!$D$3</f>
        <v>イルミナジョブ＆カレッジ千葉中央校</v>
      </c>
      <c r="E12" s="34" t="str">
        <f>発注書!$I$1</f>
        <v xml:space="preserve">2025年12月9日	</v>
      </c>
      <c r="F12" s="33" t="str">
        <f>発注書!B13</f>
        <v>03008</v>
      </c>
      <c r="G12" s="33" t="str">
        <f>発注書!C13</f>
        <v>カレイのねぎ塩焼き</v>
      </c>
      <c r="H12" s="33">
        <f>発注書!D13</f>
        <v>0</v>
      </c>
      <c r="I12" s="33">
        <v>0</v>
      </c>
      <c r="J12" s="33" t="str">
        <f t="shared" si="1"/>
        <v>03</v>
      </c>
      <c r="K12" s="33" t="str">
        <f>発注書!$C$5</f>
        <v>健康管理食選択型</v>
      </c>
    </row>
    <row r="13" spans="1:11" x14ac:dyDescent="0.15">
      <c r="A13" s="33">
        <f t="shared" si="0"/>
        <v>12</v>
      </c>
      <c r="B13" s="33">
        <v>2</v>
      </c>
      <c r="C13" s="33" t="str">
        <f>発注書!$C$3</f>
        <v>bb02787</v>
      </c>
      <c r="D13" s="33" t="str">
        <f>発注書!$D$3</f>
        <v>イルミナジョブ＆カレッジ千葉中央校</v>
      </c>
      <c r="E13" s="34" t="str">
        <f>発注書!$I$1</f>
        <v xml:space="preserve">2025年12月9日	</v>
      </c>
      <c r="F13" s="33" t="str">
        <f>発注書!B14</f>
        <v>03009</v>
      </c>
      <c r="G13" s="33" t="str">
        <f>発注書!C14</f>
        <v>タラのみぞれかけ</v>
      </c>
      <c r="H13" s="33">
        <f>発注書!D14</f>
        <v>0</v>
      </c>
      <c r="I13" s="33">
        <v>0</v>
      </c>
      <c r="J13" s="33" t="str">
        <f t="shared" si="1"/>
        <v>03</v>
      </c>
      <c r="K13" s="33" t="str">
        <f>発注書!$C$5</f>
        <v>健康管理食選択型</v>
      </c>
    </row>
    <row r="14" spans="1:11" x14ac:dyDescent="0.15">
      <c r="A14" s="33">
        <f t="shared" si="0"/>
        <v>13</v>
      </c>
      <c r="B14" s="33">
        <v>2</v>
      </c>
      <c r="C14" s="33" t="str">
        <f>発注書!$C$3</f>
        <v>bb02787</v>
      </c>
      <c r="D14" s="33" t="str">
        <f>発注書!$D$3</f>
        <v>イルミナジョブ＆カレッジ千葉中央校</v>
      </c>
      <c r="E14" s="34" t="str">
        <f>発注書!$I$1</f>
        <v xml:space="preserve">2025年12月9日	</v>
      </c>
      <c r="F14" s="33" t="str">
        <f>発注書!B15</f>
        <v>03010</v>
      </c>
      <c r="G14" s="33" t="str">
        <f>発注書!C15</f>
        <v>和風カツの卵とじ</v>
      </c>
      <c r="H14" s="33">
        <f>発注書!D15</f>
        <v>0</v>
      </c>
      <c r="I14" s="33">
        <v>0</v>
      </c>
      <c r="J14" s="33" t="str">
        <f t="shared" si="1"/>
        <v>03</v>
      </c>
      <c r="K14" s="33" t="str">
        <f>発注書!$C$5</f>
        <v>健康管理食選択型</v>
      </c>
    </row>
    <row r="15" spans="1:11" x14ac:dyDescent="0.15">
      <c r="A15" s="33">
        <f t="shared" si="0"/>
        <v>14</v>
      </c>
      <c r="B15" s="33">
        <v>2</v>
      </c>
      <c r="C15" s="33" t="str">
        <f>発注書!$C$3</f>
        <v>bb02787</v>
      </c>
      <c r="D15" s="33" t="str">
        <f>発注書!$D$3</f>
        <v>イルミナジョブ＆カレッジ千葉中央校</v>
      </c>
      <c r="E15" s="34" t="str">
        <f>発注書!$I$1</f>
        <v xml:space="preserve">2025年12月9日	</v>
      </c>
      <c r="F15" s="33" t="str">
        <f>発注書!B16</f>
        <v>03011</v>
      </c>
      <c r="G15" s="33" t="str">
        <f>発注書!C16</f>
        <v>みそカツ</v>
      </c>
      <c r="H15" s="33">
        <f>発注書!D16</f>
        <v>0</v>
      </c>
      <c r="I15" s="33">
        <v>0</v>
      </c>
      <c r="J15" s="33" t="str">
        <f t="shared" si="1"/>
        <v>03</v>
      </c>
      <c r="K15" s="33" t="str">
        <f>発注書!$C$5</f>
        <v>健康管理食選択型</v>
      </c>
    </row>
    <row r="16" spans="1:11" x14ac:dyDescent="0.15">
      <c r="A16" s="33">
        <f t="shared" si="0"/>
        <v>15</v>
      </c>
      <c r="B16" s="33">
        <v>2</v>
      </c>
      <c r="C16" s="33" t="str">
        <f>発注書!$C$3</f>
        <v>bb02787</v>
      </c>
      <c r="D16" s="33" t="str">
        <f>発注書!$D$3</f>
        <v>イルミナジョブ＆カレッジ千葉中央校</v>
      </c>
      <c r="E16" s="34" t="str">
        <f>発注書!$I$1</f>
        <v xml:space="preserve">2025年12月9日	</v>
      </c>
      <c r="F16" s="33" t="str">
        <f>発注書!B17</f>
        <v>03012</v>
      </c>
      <c r="G16" s="33" t="str">
        <f>発注書!C17</f>
        <v>豚肉のタッカルビ風</v>
      </c>
      <c r="H16" s="33">
        <f>発注書!D17</f>
        <v>0</v>
      </c>
      <c r="I16" s="33">
        <v>0</v>
      </c>
      <c r="J16" s="33" t="str">
        <f t="shared" si="1"/>
        <v>03</v>
      </c>
      <c r="K16" s="33" t="str">
        <f>発注書!$C$5</f>
        <v>健康管理食選択型</v>
      </c>
    </row>
    <row r="17" spans="1:11" x14ac:dyDescent="0.15">
      <c r="A17" s="33">
        <f t="shared" si="0"/>
        <v>16</v>
      </c>
      <c r="B17" s="33">
        <v>2</v>
      </c>
      <c r="C17" s="33" t="str">
        <f>発注書!$C$3</f>
        <v>bb02787</v>
      </c>
      <c r="D17" s="33" t="str">
        <f>発注書!$D$3</f>
        <v>イルミナジョブ＆カレッジ千葉中央校</v>
      </c>
      <c r="E17" s="34" t="str">
        <f>発注書!$I$1</f>
        <v xml:space="preserve">2025年12月9日	</v>
      </c>
      <c r="F17" s="33" t="str">
        <f>発注書!B18</f>
        <v>03013</v>
      </c>
      <c r="G17" s="33" t="str">
        <f>発注書!C18</f>
        <v>焼きサバの梅ソースがけ</v>
      </c>
      <c r="H17" s="33">
        <f>発注書!D18</f>
        <v>0</v>
      </c>
      <c r="I17" s="33">
        <v>0</v>
      </c>
      <c r="J17" s="33" t="str">
        <f t="shared" si="1"/>
        <v>03</v>
      </c>
      <c r="K17" s="33" t="str">
        <f>発注書!$C$5</f>
        <v>健康管理食選択型</v>
      </c>
    </row>
    <row r="18" spans="1:11" x14ac:dyDescent="0.15">
      <c r="A18" s="33">
        <f t="shared" si="0"/>
        <v>17</v>
      </c>
      <c r="B18" s="33">
        <v>2</v>
      </c>
      <c r="C18" s="33" t="str">
        <f>発注書!$C$3</f>
        <v>bb02787</v>
      </c>
      <c r="D18" s="33" t="str">
        <f>発注書!$D$3</f>
        <v>イルミナジョブ＆カレッジ千葉中央校</v>
      </c>
      <c r="E18" s="34" t="str">
        <f>発注書!$I$1</f>
        <v xml:space="preserve">2025年12月9日	</v>
      </c>
      <c r="F18" s="33" t="str">
        <f>発注書!B19</f>
        <v>03014</v>
      </c>
      <c r="G18" s="33" t="str">
        <f>発注書!C19</f>
        <v>赤魚の紅生姜あんかけ</v>
      </c>
      <c r="H18" s="33">
        <f>発注書!D19</f>
        <v>0</v>
      </c>
      <c r="I18" s="33">
        <v>0</v>
      </c>
      <c r="J18" s="33" t="str">
        <f t="shared" si="1"/>
        <v>03</v>
      </c>
      <c r="K18" s="33" t="str">
        <f>発注書!$C$5</f>
        <v>健康管理食選択型</v>
      </c>
    </row>
    <row r="19" spans="1:11" x14ac:dyDescent="0.15">
      <c r="A19" s="33">
        <f t="shared" si="0"/>
        <v>18</v>
      </c>
      <c r="B19" s="33">
        <v>2</v>
      </c>
      <c r="C19" s="33" t="str">
        <f>発注書!$C$3</f>
        <v>bb02787</v>
      </c>
      <c r="D19" s="33" t="str">
        <f>発注書!$D$3</f>
        <v>イルミナジョブ＆カレッジ千葉中央校</v>
      </c>
      <c r="E19" s="34" t="str">
        <f>発注書!$I$1</f>
        <v xml:space="preserve">2025年12月9日	</v>
      </c>
      <c r="F19" s="33" t="str">
        <f>発注書!B20</f>
        <v>03015</v>
      </c>
      <c r="G19" s="33" t="str">
        <f>発注書!C20</f>
        <v>豆腐ハンバーグ麻婆ソース</v>
      </c>
      <c r="H19" s="33">
        <f>発注書!D20</f>
        <v>0</v>
      </c>
      <c r="I19" s="33">
        <v>0</v>
      </c>
      <c r="J19" s="33" t="str">
        <f t="shared" si="1"/>
        <v>03</v>
      </c>
      <c r="K19" s="33" t="str">
        <f>発注書!$C$5</f>
        <v>健康管理食選択型</v>
      </c>
    </row>
    <row r="20" spans="1:11" x14ac:dyDescent="0.15">
      <c r="A20" s="33">
        <f t="shared" si="0"/>
        <v>19</v>
      </c>
      <c r="B20" s="33">
        <v>2</v>
      </c>
      <c r="C20" s="33" t="str">
        <f>発注書!$C$3</f>
        <v>bb02787</v>
      </c>
      <c r="D20" s="33" t="str">
        <f>発注書!$D$3</f>
        <v>イルミナジョブ＆カレッジ千葉中央校</v>
      </c>
      <c r="E20" s="34" t="str">
        <f>発注書!$I$1</f>
        <v xml:space="preserve">2025年12月9日	</v>
      </c>
      <c r="F20" s="33" t="str">
        <f>発注書!B21</f>
        <v>03016</v>
      </c>
      <c r="G20" s="33" t="str">
        <f>発注書!C21</f>
        <v>カレイのバターポン酢きのこあん</v>
      </c>
      <c r="H20" s="33">
        <f>発注書!D21</f>
        <v>8</v>
      </c>
      <c r="I20" s="33">
        <v>0</v>
      </c>
      <c r="J20" s="33" t="str">
        <f t="shared" si="1"/>
        <v>03</v>
      </c>
      <c r="K20" s="33" t="str">
        <f>発注書!$C$5</f>
        <v>健康管理食選択型</v>
      </c>
    </row>
    <row r="21" spans="1:11" x14ac:dyDescent="0.15">
      <c r="A21" s="33">
        <f t="shared" si="0"/>
        <v>20</v>
      </c>
      <c r="B21" s="33">
        <v>2</v>
      </c>
      <c r="C21" s="33" t="str">
        <f>発注書!$C$3</f>
        <v>bb02787</v>
      </c>
      <c r="D21" s="33" t="str">
        <f>発注書!$D$3</f>
        <v>イルミナジョブ＆カレッジ千葉中央校</v>
      </c>
      <c r="E21" s="34" t="str">
        <f>発注書!$I$1</f>
        <v xml:space="preserve">2025年12月9日	</v>
      </c>
      <c r="F21" s="33" t="str">
        <f>発注書!B22</f>
        <v>03017</v>
      </c>
      <c r="G21" s="33" t="str">
        <f>発注書!C22</f>
        <v>広東風かに玉</v>
      </c>
      <c r="H21" s="33">
        <f>発注書!D22</f>
        <v>0</v>
      </c>
      <c r="I21" s="33">
        <v>0</v>
      </c>
      <c r="J21" s="33" t="str">
        <f t="shared" si="1"/>
        <v>03</v>
      </c>
      <c r="K21" s="33" t="str">
        <f>発注書!$C$5</f>
        <v>健康管理食選択型</v>
      </c>
    </row>
    <row r="22" spans="1:11" x14ac:dyDescent="0.15">
      <c r="A22" s="33">
        <f t="shared" si="0"/>
        <v>21</v>
      </c>
      <c r="B22" s="33">
        <v>2</v>
      </c>
      <c r="C22" s="33" t="str">
        <f>発注書!$C$3</f>
        <v>bb02787</v>
      </c>
      <c r="D22" s="33" t="str">
        <f>発注書!$D$3</f>
        <v>イルミナジョブ＆カレッジ千葉中央校</v>
      </c>
      <c r="E22" s="34" t="str">
        <f>発注書!$I$1</f>
        <v xml:space="preserve">2025年12月9日	</v>
      </c>
      <c r="F22" s="33" t="str">
        <f>発注書!B23</f>
        <v>03018</v>
      </c>
      <c r="G22" s="33" t="str">
        <f>発注書!C23</f>
        <v>メバルの幽庵焼き</v>
      </c>
      <c r="H22" s="33">
        <f>発注書!D23</f>
        <v>0</v>
      </c>
      <c r="I22" s="33">
        <v>0</v>
      </c>
      <c r="J22" s="33" t="str">
        <f t="shared" si="1"/>
        <v>03</v>
      </c>
      <c r="K22" s="33" t="str">
        <f>発注書!$C$5</f>
        <v>健康管理食選択型</v>
      </c>
    </row>
    <row r="23" spans="1:11" x14ac:dyDescent="0.15">
      <c r="A23" s="33">
        <f t="shared" si="0"/>
        <v>22</v>
      </c>
      <c r="B23" s="33">
        <v>2</v>
      </c>
      <c r="C23" s="33" t="str">
        <f>発注書!$C$3</f>
        <v>bb02787</v>
      </c>
      <c r="D23" s="33" t="str">
        <f>発注書!$D$3</f>
        <v>イルミナジョブ＆カレッジ千葉中央校</v>
      </c>
      <c r="E23" s="34" t="str">
        <f>発注書!$I$1</f>
        <v xml:space="preserve">2025年12月9日	</v>
      </c>
      <c r="F23" s="33" t="str">
        <f>発注書!B24</f>
        <v>03019</v>
      </c>
      <c r="G23" s="33" t="str">
        <f>発注書!C24</f>
        <v>ハンバーグ玉葱ソース</v>
      </c>
      <c r="H23" s="33">
        <f>発注書!D24</f>
        <v>0</v>
      </c>
      <c r="I23" s="33">
        <v>0</v>
      </c>
      <c r="J23" s="33" t="str">
        <f t="shared" si="1"/>
        <v>03</v>
      </c>
      <c r="K23" s="33" t="str">
        <f>発注書!$C$5</f>
        <v>健康管理食選択型</v>
      </c>
    </row>
    <row r="24" spans="1:11" x14ac:dyDescent="0.15">
      <c r="A24" s="33">
        <f t="shared" si="0"/>
        <v>23</v>
      </c>
      <c r="B24" s="33">
        <v>2</v>
      </c>
      <c r="C24" s="33" t="str">
        <f>発注書!$C$3</f>
        <v>bb02787</v>
      </c>
      <c r="D24" s="33" t="str">
        <f>発注書!$D$3</f>
        <v>イルミナジョブ＆カレッジ千葉中央校</v>
      </c>
      <c r="E24" s="34" t="str">
        <f>発注書!$I$1</f>
        <v xml:space="preserve">2025年12月9日	</v>
      </c>
      <c r="F24" s="33" t="str">
        <f>発注書!B25</f>
        <v>03020</v>
      </c>
      <c r="G24" s="33" t="str">
        <f>発注書!C25</f>
        <v>牛肉のチャプチェ</v>
      </c>
      <c r="H24" s="33">
        <f>発注書!D25</f>
        <v>0</v>
      </c>
      <c r="I24" s="33">
        <v>0</v>
      </c>
      <c r="J24" s="33" t="str">
        <f t="shared" si="1"/>
        <v>03</v>
      </c>
      <c r="K24" s="33" t="str">
        <f>発注書!$C$5</f>
        <v>健康管理食選択型</v>
      </c>
    </row>
    <row r="25" spans="1:11" x14ac:dyDescent="0.15">
      <c r="A25" s="33">
        <f t="shared" si="0"/>
        <v>24</v>
      </c>
      <c r="B25" s="33">
        <v>2</v>
      </c>
      <c r="C25" s="33" t="str">
        <f>発注書!$C$3</f>
        <v>bb02787</v>
      </c>
      <c r="D25" s="33" t="str">
        <f>発注書!$D$3</f>
        <v>イルミナジョブ＆カレッジ千葉中央校</v>
      </c>
      <c r="E25" s="34" t="str">
        <f>発注書!$I$1</f>
        <v xml:space="preserve">2025年12月9日	</v>
      </c>
      <c r="F25" s="33" t="str">
        <f>発注書!B26</f>
        <v>03021</v>
      </c>
      <c r="G25" s="33" t="str">
        <f>発注書!C26</f>
        <v>豚しゃぶ柚子おろしだれ</v>
      </c>
      <c r="H25" s="33">
        <f>発注書!D26</f>
        <v>0</v>
      </c>
      <c r="I25" s="33">
        <v>0</v>
      </c>
      <c r="J25" s="33" t="str">
        <f t="shared" si="1"/>
        <v>03</v>
      </c>
      <c r="K25" s="33" t="str">
        <f>発注書!$C$5</f>
        <v>健康管理食選択型</v>
      </c>
    </row>
    <row r="26" spans="1:11" x14ac:dyDescent="0.15">
      <c r="A26" s="33">
        <f t="shared" si="0"/>
        <v>25</v>
      </c>
      <c r="B26" s="33">
        <v>2</v>
      </c>
      <c r="C26" s="33" t="str">
        <f>発注書!$C$3</f>
        <v>bb02787</v>
      </c>
      <c r="D26" s="33" t="str">
        <f>発注書!$D$3</f>
        <v>イルミナジョブ＆カレッジ千葉中央校</v>
      </c>
      <c r="E26" s="34" t="str">
        <f>発注書!$I$1</f>
        <v xml:space="preserve">2025年12月9日	</v>
      </c>
      <c r="F26" s="33" t="str">
        <f>発注書!B27</f>
        <v>03022</v>
      </c>
      <c r="G26" s="33" t="str">
        <f>発注書!C27</f>
        <v>サワラの洋風焼き</v>
      </c>
      <c r="H26" s="33">
        <f>発注書!D27</f>
        <v>0</v>
      </c>
      <c r="I26" s="33">
        <v>0</v>
      </c>
      <c r="J26" s="33" t="str">
        <f t="shared" si="1"/>
        <v>03</v>
      </c>
      <c r="K26" s="33" t="str">
        <f>発注書!$C$5</f>
        <v>健康管理食選択型</v>
      </c>
    </row>
    <row r="27" spans="1:11" x14ac:dyDescent="0.15">
      <c r="A27" s="33">
        <f t="shared" si="0"/>
        <v>26</v>
      </c>
      <c r="B27" s="33">
        <v>2</v>
      </c>
      <c r="C27" s="33" t="str">
        <f>発注書!$C$3</f>
        <v>bb02787</v>
      </c>
      <c r="D27" s="33" t="str">
        <f>発注書!$D$3</f>
        <v>イルミナジョブ＆カレッジ千葉中央校</v>
      </c>
      <c r="E27" s="34" t="str">
        <f>発注書!$I$1</f>
        <v xml:space="preserve">2025年12月9日	</v>
      </c>
      <c r="F27" s="33" t="str">
        <f>発注書!B28</f>
        <v>03023</v>
      </c>
      <c r="G27" s="33" t="str">
        <f>発注書!C28</f>
        <v>豚肉の生姜焼き</v>
      </c>
      <c r="H27" s="33">
        <f>発注書!D28</f>
        <v>0</v>
      </c>
      <c r="I27" s="33">
        <v>0</v>
      </c>
      <c r="J27" s="33" t="str">
        <f t="shared" si="1"/>
        <v>03</v>
      </c>
      <c r="K27" s="33" t="str">
        <f>発注書!$C$5</f>
        <v>健康管理食選択型</v>
      </c>
    </row>
    <row r="28" spans="1:11" x14ac:dyDescent="0.15">
      <c r="A28" s="33">
        <f t="shared" si="0"/>
        <v>27</v>
      </c>
      <c r="B28" s="33">
        <v>2</v>
      </c>
      <c r="C28" s="33" t="str">
        <f>発注書!$C$3</f>
        <v>bb02787</v>
      </c>
      <c r="D28" s="33" t="str">
        <f>発注書!$D$3</f>
        <v>イルミナジョブ＆カレッジ千葉中央校</v>
      </c>
      <c r="E28" s="34" t="str">
        <f>発注書!$I$1</f>
        <v xml:space="preserve">2025年12月9日	</v>
      </c>
      <c r="F28" s="33" t="str">
        <f>発注書!B29</f>
        <v>03024</v>
      </c>
      <c r="G28" s="33" t="str">
        <f>発注書!C29</f>
        <v>赤魚の煮付け</v>
      </c>
      <c r="H28" s="33">
        <f>発注書!D29</f>
        <v>0</v>
      </c>
      <c r="I28" s="33">
        <v>0</v>
      </c>
      <c r="J28" s="33" t="str">
        <f t="shared" si="1"/>
        <v>03</v>
      </c>
      <c r="K28" s="33" t="str">
        <f>発注書!$C$5</f>
        <v>健康管理食選択型</v>
      </c>
    </row>
    <row r="29" spans="1:11" x14ac:dyDescent="0.15">
      <c r="A29" s="33">
        <f t="shared" si="0"/>
        <v>28</v>
      </c>
      <c r="B29" s="33">
        <v>2</v>
      </c>
      <c r="C29" s="33" t="str">
        <f>発注書!$C$3</f>
        <v>bb02787</v>
      </c>
      <c r="D29" s="33" t="str">
        <f>発注書!$D$3</f>
        <v>イルミナジョブ＆カレッジ千葉中央校</v>
      </c>
      <c r="E29" s="34" t="str">
        <f>発注書!$I$1</f>
        <v xml:space="preserve">2025年12月9日	</v>
      </c>
      <c r="F29" s="33" t="str">
        <f>発注書!B30</f>
        <v>03025</v>
      </c>
      <c r="G29" s="33" t="str">
        <f>発注書!C30</f>
        <v>チキンカツの梅マヨソース</v>
      </c>
      <c r="H29" s="33">
        <f>発注書!D30</f>
        <v>0</v>
      </c>
      <c r="I29" s="33">
        <v>0</v>
      </c>
      <c r="J29" s="33" t="str">
        <f t="shared" si="1"/>
        <v>03</v>
      </c>
      <c r="K29" s="33" t="str">
        <f>発注書!$C$5</f>
        <v>健康管理食選択型</v>
      </c>
    </row>
    <row r="30" spans="1:11" x14ac:dyDescent="0.15">
      <c r="A30" s="33">
        <f t="shared" si="0"/>
        <v>29</v>
      </c>
      <c r="B30" s="33">
        <v>2</v>
      </c>
      <c r="C30" s="33" t="str">
        <f>発注書!$C$3</f>
        <v>bb02787</v>
      </c>
      <c r="D30" s="33" t="str">
        <f>発注書!$D$3</f>
        <v>イルミナジョブ＆カレッジ千葉中央校</v>
      </c>
      <c r="E30" s="34" t="str">
        <f>発注書!$I$1</f>
        <v xml:space="preserve">2025年12月9日	</v>
      </c>
      <c r="F30" s="33" t="str">
        <f>発注書!B31</f>
        <v>03026</v>
      </c>
      <c r="G30" s="33" t="str">
        <f>発注書!C31</f>
        <v>肉じゃが</v>
      </c>
      <c r="H30" s="33">
        <f>発注書!D31</f>
        <v>0</v>
      </c>
      <c r="I30" s="33">
        <v>0</v>
      </c>
      <c r="J30" s="33" t="str">
        <f t="shared" si="1"/>
        <v>03</v>
      </c>
      <c r="K30" s="33" t="str">
        <f>発注書!$C$5</f>
        <v>健康管理食選択型</v>
      </c>
    </row>
    <row r="31" spans="1:11" x14ac:dyDescent="0.15">
      <c r="A31" s="33">
        <f t="shared" si="0"/>
        <v>30</v>
      </c>
      <c r="B31" s="33">
        <v>2</v>
      </c>
      <c r="C31" s="33" t="str">
        <f>発注書!$C$3</f>
        <v>bb02787</v>
      </c>
      <c r="D31" s="33" t="str">
        <f>発注書!$D$3</f>
        <v>イルミナジョブ＆カレッジ千葉中央校</v>
      </c>
      <c r="E31" s="34" t="str">
        <f>発注書!$I$1</f>
        <v xml:space="preserve">2025年12月9日	</v>
      </c>
      <c r="F31" s="33" t="str">
        <f>発注書!B32</f>
        <v>03027</v>
      </c>
      <c r="G31" s="33" t="str">
        <f>発注書!C32</f>
        <v>鶏肉のスイートチリソース</v>
      </c>
      <c r="H31" s="33">
        <f>発注書!D32</f>
        <v>0</v>
      </c>
      <c r="I31" s="33">
        <v>0</v>
      </c>
      <c r="J31" s="33" t="str">
        <f t="shared" si="1"/>
        <v>03</v>
      </c>
      <c r="K31" s="33" t="str">
        <f>発注書!$C$5</f>
        <v>健康管理食選択型</v>
      </c>
    </row>
    <row r="32" spans="1:11" x14ac:dyDescent="0.15">
      <c r="A32" s="33">
        <f t="shared" si="0"/>
        <v>31</v>
      </c>
      <c r="B32" s="33">
        <v>2</v>
      </c>
      <c r="C32" s="33" t="str">
        <f>発注書!$C$3</f>
        <v>bb02787</v>
      </c>
      <c r="D32" s="33" t="str">
        <f>発注書!$D$3</f>
        <v>イルミナジョブ＆カレッジ千葉中央校</v>
      </c>
      <c r="E32" s="34" t="str">
        <f>発注書!$I$1</f>
        <v xml:space="preserve">2025年12月9日	</v>
      </c>
      <c r="F32" s="33" t="str">
        <f>発注書!B33</f>
        <v>03028</v>
      </c>
      <c r="G32" s="33" t="str">
        <f>発注書!C33</f>
        <v>あんかけちゃんぽん風</v>
      </c>
      <c r="H32" s="33">
        <f>発注書!D33</f>
        <v>0</v>
      </c>
      <c r="I32" s="33">
        <v>0</v>
      </c>
      <c r="J32" s="33" t="str">
        <f t="shared" si="1"/>
        <v>03</v>
      </c>
      <c r="K32" s="33" t="str">
        <f>発注書!$C$5</f>
        <v>健康管理食選択型</v>
      </c>
    </row>
    <row r="33" spans="1:11" x14ac:dyDescent="0.15">
      <c r="A33" s="33">
        <f t="shared" si="0"/>
        <v>32</v>
      </c>
      <c r="B33" s="33">
        <v>2</v>
      </c>
      <c r="C33" s="33" t="str">
        <f>発注書!$C$3</f>
        <v>bb02787</v>
      </c>
      <c r="D33" s="33" t="str">
        <f>発注書!$D$3</f>
        <v>イルミナジョブ＆カレッジ千葉中央校</v>
      </c>
      <c r="E33" s="34" t="str">
        <f>発注書!$I$1</f>
        <v xml:space="preserve">2025年12月9日	</v>
      </c>
      <c r="F33" s="33" t="str">
        <f>発注書!B34</f>
        <v>03029</v>
      </c>
      <c r="G33" s="33" t="str">
        <f>発注書!C34</f>
        <v>白身魚のすりおろし野菜ソース</v>
      </c>
      <c r="H33" s="33">
        <f>発注書!D34</f>
        <v>0</v>
      </c>
      <c r="I33" s="33">
        <v>0</v>
      </c>
      <c r="J33" s="33" t="str">
        <f t="shared" si="1"/>
        <v>03</v>
      </c>
      <c r="K33" s="33" t="str">
        <f>発注書!$C$5</f>
        <v>健康管理食選択型</v>
      </c>
    </row>
    <row r="34" spans="1:11" x14ac:dyDescent="0.15">
      <c r="A34" s="33">
        <f t="shared" si="0"/>
        <v>33</v>
      </c>
      <c r="B34" s="33">
        <v>2</v>
      </c>
      <c r="C34" s="33" t="str">
        <f>発注書!$C$3</f>
        <v>bb02787</v>
      </c>
      <c r="D34" s="33" t="str">
        <f>発注書!$D$3</f>
        <v>イルミナジョブ＆カレッジ千葉中央校</v>
      </c>
      <c r="E34" s="34" t="str">
        <f>発注書!$I$1</f>
        <v xml:space="preserve">2025年12月9日	</v>
      </c>
      <c r="F34" s="33" t="str">
        <f>発注書!B35</f>
        <v>03030</v>
      </c>
      <c r="G34" s="33" t="str">
        <f>発注書!C35</f>
        <v>肉豆腐</v>
      </c>
      <c r="H34" s="33">
        <f>発注書!D35</f>
        <v>8</v>
      </c>
      <c r="I34" s="33">
        <v>0</v>
      </c>
      <c r="J34" s="33" t="str">
        <f t="shared" si="1"/>
        <v>03</v>
      </c>
      <c r="K34" s="33" t="str">
        <f>発注書!$C$5</f>
        <v>健康管理食選択型</v>
      </c>
    </row>
    <row r="35" spans="1:11" x14ac:dyDescent="0.15">
      <c r="A35" s="33">
        <f t="shared" si="0"/>
        <v>34</v>
      </c>
      <c r="B35" s="33">
        <v>2</v>
      </c>
      <c r="C35" s="33" t="str">
        <f>発注書!$C$3</f>
        <v>bb02787</v>
      </c>
      <c r="D35" s="33" t="str">
        <f>発注書!$D$3</f>
        <v>イルミナジョブ＆カレッジ千葉中央校</v>
      </c>
      <c r="E35" s="34" t="str">
        <f>発注書!$I$1</f>
        <v xml:space="preserve">2025年12月9日	</v>
      </c>
      <c r="F35" s="33" t="str">
        <f>発注書!B36</f>
        <v>03031</v>
      </c>
      <c r="G35" s="33" t="str">
        <f>発注書!C36</f>
        <v>親子煮</v>
      </c>
      <c r="H35" s="33">
        <f>発注書!D36</f>
        <v>4</v>
      </c>
      <c r="I35" s="33">
        <v>0</v>
      </c>
      <c r="J35" s="33" t="str">
        <f t="shared" ref="J35:J85" si="2">LEFT(F35,2)</f>
        <v>03</v>
      </c>
      <c r="K35" s="33" t="str">
        <f>発注書!$C$5</f>
        <v>健康管理食選択型</v>
      </c>
    </row>
    <row r="36" spans="1:11" x14ac:dyDescent="0.15">
      <c r="A36" s="33">
        <f t="shared" si="0"/>
        <v>35</v>
      </c>
      <c r="B36" s="33">
        <v>2</v>
      </c>
      <c r="C36" s="33" t="str">
        <f>発注書!$C$3</f>
        <v>bb02787</v>
      </c>
      <c r="D36" s="33" t="str">
        <f>発注書!$D$3</f>
        <v>イルミナジョブ＆カレッジ千葉中央校</v>
      </c>
      <c r="E36" s="34" t="str">
        <f>発注書!$I$1</f>
        <v xml:space="preserve">2025年12月9日	</v>
      </c>
      <c r="F36" s="33" t="str">
        <f>発注書!B37</f>
        <v>03032</v>
      </c>
      <c r="G36" s="33" t="str">
        <f>発注書!C37</f>
        <v>鶏肉の香味ソース</v>
      </c>
      <c r="H36" s="33">
        <f>発注書!D37</f>
        <v>4</v>
      </c>
      <c r="I36" s="33">
        <v>0</v>
      </c>
      <c r="J36" s="33" t="str">
        <f t="shared" si="2"/>
        <v>03</v>
      </c>
      <c r="K36" s="33" t="str">
        <f>発注書!$C$5</f>
        <v>健康管理食選択型</v>
      </c>
    </row>
    <row r="37" spans="1:11" x14ac:dyDescent="0.15">
      <c r="A37" s="33">
        <f t="shared" si="0"/>
        <v>36</v>
      </c>
      <c r="B37" s="33">
        <v>2</v>
      </c>
      <c r="C37" s="33" t="str">
        <f>発注書!$C$3</f>
        <v>bb02787</v>
      </c>
      <c r="D37" s="33" t="str">
        <f>発注書!$D$3</f>
        <v>イルミナジョブ＆カレッジ千葉中央校</v>
      </c>
      <c r="E37" s="34" t="str">
        <f>発注書!$I$1</f>
        <v xml:space="preserve">2025年12月9日	</v>
      </c>
      <c r="F37" s="33" t="str">
        <f>発注書!B38</f>
        <v>03033</v>
      </c>
      <c r="G37" s="33" t="str">
        <f>発注書!C38</f>
        <v>酢豚</v>
      </c>
      <c r="H37" s="33">
        <f>発注書!D38</f>
        <v>8</v>
      </c>
      <c r="I37" s="33">
        <v>0</v>
      </c>
      <c r="J37" s="33" t="str">
        <f t="shared" si="2"/>
        <v>03</v>
      </c>
      <c r="K37" s="33" t="str">
        <f>発注書!$C$5</f>
        <v>健康管理食選択型</v>
      </c>
    </row>
    <row r="38" spans="1:11" x14ac:dyDescent="0.15">
      <c r="A38" s="33">
        <f t="shared" si="0"/>
        <v>37</v>
      </c>
      <c r="B38" s="33">
        <v>2</v>
      </c>
      <c r="C38" s="33" t="str">
        <f>発注書!$C$3</f>
        <v>bb02787</v>
      </c>
      <c r="D38" s="33" t="str">
        <f>発注書!$D$3</f>
        <v>イルミナジョブ＆カレッジ千葉中央校</v>
      </c>
      <c r="E38" s="34" t="str">
        <f>発注書!$I$1</f>
        <v xml:space="preserve">2025年12月9日	</v>
      </c>
      <c r="F38" s="33" t="str">
        <f>発注書!B39</f>
        <v>03034</v>
      </c>
      <c r="G38" s="33" t="str">
        <f>発注書!C39</f>
        <v>牛ごぼうのしぐれ煮</v>
      </c>
      <c r="H38" s="33">
        <f>発注書!D39</f>
        <v>0</v>
      </c>
      <c r="I38" s="33">
        <v>0</v>
      </c>
      <c r="J38" s="33" t="str">
        <f t="shared" si="2"/>
        <v>03</v>
      </c>
      <c r="K38" s="33" t="str">
        <f>発注書!$C$5</f>
        <v>健康管理食選択型</v>
      </c>
    </row>
    <row r="39" spans="1:11" x14ac:dyDescent="0.15">
      <c r="A39" s="33">
        <f t="shared" si="0"/>
        <v>38</v>
      </c>
      <c r="B39" s="33">
        <v>2</v>
      </c>
      <c r="C39" s="33" t="str">
        <f>発注書!$C$3</f>
        <v>bb02787</v>
      </c>
      <c r="D39" s="33" t="str">
        <f>発注書!$D$3</f>
        <v>イルミナジョブ＆カレッジ千葉中央校</v>
      </c>
      <c r="E39" s="34" t="str">
        <f>発注書!$I$1</f>
        <v xml:space="preserve">2025年12月9日	</v>
      </c>
      <c r="F39" s="33" t="str">
        <f>発注書!B40</f>
        <v>03035</v>
      </c>
      <c r="G39" s="33" t="str">
        <f>発注書!C40</f>
        <v>チキン南蛮宮崎風</v>
      </c>
      <c r="H39" s="33">
        <f>発注書!D40</f>
        <v>0</v>
      </c>
      <c r="I39" s="33">
        <v>0</v>
      </c>
      <c r="J39" s="33" t="str">
        <f t="shared" si="2"/>
        <v>03</v>
      </c>
      <c r="K39" s="33" t="str">
        <f>発注書!$C$5</f>
        <v>健康管理食選択型</v>
      </c>
    </row>
    <row r="40" spans="1:11" x14ac:dyDescent="0.15">
      <c r="A40" s="33">
        <f t="shared" si="0"/>
        <v>39</v>
      </c>
      <c r="B40" s="33">
        <v>2</v>
      </c>
      <c r="C40" s="33" t="str">
        <f>発注書!$C$3</f>
        <v>bb02787</v>
      </c>
      <c r="D40" s="33" t="str">
        <f>発注書!$D$3</f>
        <v>イルミナジョブ＆カレッジ千葉中央校</v>
      </c>
      <c r="E40" s="34" t="str">
        <f>発注書!$I$1</f>
        <v xml:space="preserve">2025年12月9日	</v>
      </c>
      <c r="F40" s="33" t="str">
        <f>発注書!B41</f>
        <v>03036</v>
      </c>
      <c r="G40" s="33" t="str">
        <f>発注書!C41</f>
        <v>照りマヨチキン</v>
      </c>
      <c r="H40" s="33">
        <f>発注書!D41</f>
        <v>4</v>
      </c>
      <c r="I40" s="33">
        <v>0</v>
      </c>
      <c r="J40" s="33" t="str">
        <f t="shared" si="2"/>
        <v>03</v>
      </c>
      <c r="K40" s="33" t="str">
        <f>発注書!$C$5</f>
        <v>健康管理食選択型</v>
      </c>
    </row>
    <row r="41" spans="1:11" x14ac:dyDescent="0.15">
      <c r="A41" s="33">
        <f t="shared" si="0"/>
        <v>40</v>
      </c>
      <c r="B41" s="33">
        <v>2</v>
      </c>
      <c r="C41" s="33" t="str">
        <f>発注書!$C$3</f>
        <v>bb02787</v>
      </c>
      <c r="D41" s="33" t="str">
        <f>発注書!$D$3</f>
        <v>イルミナジョブ＆カレッジ千葉中央校</v>
      </c>
      <c r="E41" s="34" t="str">
        <f>発注書!$I$1</f>
        <v xml:space="preserve">2025年12月9日	</v>
      </c>
      <c r="F41" s="33" t="str">
        <f>発注書!B42</f>
        <v>03037</v>
      </c>
      <c r="G41" s="33" t="str">
        <f>発注書!C42</f>
        <v>ハンバーグ和風あんかけ</v>
      </c>
      <c r="H41" s="33">
        <f>発注書!D42</f>
        <v>0</v>
      </c>
      <c r="I41" s="33">
        <v>0</v>
      </c>
      <c r="J41" s="33" t="str">
        <f t="shared" si="2"/>
        <v>03</v>
      </c>
      <c r="K41" s="33" t="str">
        <f>発注書!$C$5</f>
        <v>健康管理食選択型</v>
      </c>
    </row>
    <row r="42" spans="1:11" x14ac:dyDescent="0.15">
      <c r="A42" s="33">
        <f t="shared" si="0"/>
        <v>41</v>
      </c>
      <c r="B42" s="33">
        <v>2</v>
      </c>
      <c r="C42" s="33" t="str">
        <f>発注書!$C$3</f>
        <v>bb02787</v>
      </c>
      <c r="D42" s="33" t="str">
        <f>発注書!$D$3</f>
        <v>イルミナジョブ＆カレッジ千葉中央校</v>
      </c>
      <c r="E42" s="34" t="str">
        <f>発注書!$I$1</f>
        <v xml:space="preserve">2025年12月9日	</v>
      </c>
      <c r="F42" s="33" t="str">
        <f>発注書!B43</f>
        <v>03038</v>
      </c>
      <c r="G42" s="33" t="str">
        <f>発注書!C43</f>
        <v>白身魚の葱ソース</v>
      </c>
      <c r="H42" s="33">
        <f>発注書!D43</f>
        <v>0</v>
      </c>
      <c r="I42" s="33">
        <v>0</v>
      </c>
      <c r="J42" s="33" t="str">
        <f t="shared" si="2"/>
        <v>03</v>
      </c>
      <c r="K42" s="33" t="str">
        <f>発注書!$C$5</f>
        <v>健康管理食選択型</v>
      </c>
    </row>
    <row r="43" spans="1:11" x14ac:dyDescent="0.15">
      <c r="A43" s="33">
        <f t="shared" si="0"/>
        <v>42</v>
      </c>
      <c r="B43" s="33">
        <v>2</v>
      </c>
      <c r="C43" s="33" t="str">
        <f>発注書!$C$3</f>
        <v>bb02787</v>
      </c>
      <c r="D43" s="33" t="str">
        <f>発注書!$D$3</f>
        <v>イルミナジョブ＆カレッジ千葉中央校</v>
      </c>
      <c r="E43" s="34" t="str">
        <f>発注書!$I$1</f>
        <v xml:space="preserve">2025年12月9日	</v>
      </c>
      <c r="F43" s="33" t="str">
        <f>発注書!B44</f>
        <v>03039</v>
      </c>
      <c r="G43" s="33" t="str">
        <f>発注書!C44</f>
        <v>八宝菜</v>
      </c>
      <c r="H43" s="33">
        <f>発注書!D44</f>
        <v>0</v>
      </c>
      <c r="I43" s="33">
        <v>0</v>
      </c>
      <c r="J43" s="33" t="str">
        <f t="shared" si="2"/>
        <v>03</v>
      </c>
      <c r="K43" s="33" t="str">
        <f>発注書!$C$5</f>
        <v>健康管理食選択型</v>
      </c>
    </row>
    <row r="44" spans="1:11" x14ac:dyDescent="0.15">
      <c r="A44" s="33">
        <f t="shared" si="0"/>
        <v>43</v>
      </c>
      <c r="B44" s="33">
        <v>2</v>
      </c>
      <c r="C44" s="33" t="str">
        <f>発注書!$C$3</f>
        <v>bb02787</v>
      </c>
      <c r="D44" s="33" t="str">
        <f>発注書!$D$3</f>
        <v>イルミナジョブ＆カレッジ千葉中央校</v>
      </c>
      <c r="E44" s="34" t="str">
        <f>発注書!$I$1</f>
        <v xml:space="preserve">2025年12月9日	</v>
      </c>
      <c r="F44" s="33" t="str">
        <f>発注書!B45</f>
        <v>03040</v>
      </c>
      <c r="G44" s="33" t="str">
        <f>発注書!C45</f>
        <v>たらフライのタルタルソース</v>
      </c>
      <c r="H44" s="33">
        <f>発注書!D45</f>
        <v>0</v>
      </c>
      <c r="I44" s="33">
        <v>0</v>
      </c>
      <c r="J44" s="33" t="str">
        <f t="shared" si="2"/>
        <v>03</v>
      </c>
      <c r="K44" s="33" t="str">
        <f>発注書!$C$5</f>
        <v>健康管理食選択型</v>
      </c>
    </row>
    <row r="45" spans="1:11" x14ac:dyDescent="0.15">
      <c r="A45" s="33">
        <f t="shared" si="0"/>
        <v>44</v>
      </c>
      <c r="B45" s="33">
        <v>2</v>
      </c>
      <c r="C45" s="33" t="str">
        <f>発注書!$C$3</f>
        <v>bb02787</v>
      </c>
      <c r="D45" s="33" t="str">
        <f>発注書!$D$3</f>
        <v>イルミナジョブ＆カレッジ千葉中央校</v>
      </c>
      <c r="E45" s="34" t="str">
        <f>発注書!$I$1</f>
        <v xml:space="preserve">2025年12月9日	</v>
      </c>
      <c r="F45" s="33" t="str">
        <f>発注書!B46</f>
        <v>03041</v>
      </c>
      <c r="G45" s="33" t="str">
        <f>発注書!C46</f>
        <v>ハンバーグデミグラスソース</v>
      </c>
      <c r="H45" s="33">
        <f>発注書!D46</f>
        <v>0</v>
      </c>
      <c r="I45" s="33">
        <v>0</v>
      </c>
      <c r="J45" s="33" t="str">
        <f t="shared" si="2"/>
        <v>03</v>
      </c>
      <c r="K45" s="33" t="str">
        <f>発注書!$C$5</f>
        <v>健康管理食選択型</v>
      </c>
    </row>
    <row r="46" spans="1:11" x14ac:dyDescent="0.15">
      <c r="A46" s="33">
        <f t="shared" si="0"/>
        <v>45</v>
      </c>
      <c r="B46" s="33">
        <v>2</v>
      </c>
      <c r="C46" s="33" t="str">
        <f>発注書!$C$3</f>
        <v>bb02787</v>
      </c>
      <c r="D46" s="33" t="str">
        <f>発注書!$D$3</f>
        <v>イルミナジョブ＆カレッジ千葉中央校</v>
      </c>
      <c r="E46" s="34" t="str">
        <f>発注書!$I$1</f>
        <v xml:space="preserve">2025年12月9日	</v>
      </c>
      <c r="F46" s="33" t="str">
        <f>発注書!B47</f>
        <v>03042</v>
      </c>
      <c r="G46" s="33" t="str">
        <f>発注書!C47</f>
        <v>鶏天中華たれ</v>
      </c>
      <c r="H46" s="33">
        <f>発注書!D47</f>
        <v>0</v>
      </c>
      <c r="I46" s="33">
        <v>0</v>
      </c>
      <c r="J46" s="33" t="str">
        <f t="shared" si="2"/>
        <v>03</v>
      </c>
      <c r="K46" s="33" t="str">
        <f>発注書!$C$5</f>
        <v>健康管理食選択型</v>
      </c>
    </row>
    <row r="47" spans="1:11" x14ac:dyDescent="0.15">
      <c r="A47" s="33">
        <f t="shared" si="0"/>
        <v>46</v>
      </c>
      <c r="B47" s="33">
        <v>2</v>
      </c>
      <c r="C47" s="33" t="str">
        <f>発注書!$C$3</f>
        <v>bb02787</v>
      </c>
      <c r="D47" s="33" t="str">
        <f>発注書!$D$3</f>
        <v>イルミナジョブ＆カレッジ千葉中央校</v>
      </c>
      <c r="E47" s="34" t="str">
        <f>発注書!$I$1</f>
        <v xml:space="preserve">2025年12月9日	</v>
      </c>
      <c r="F47" s="33" t="str">
        <f>発注書!B48</f>
        <v>03043</v>
      </c>
      <c r="G47" s="33" t="str">
        <f>発注書!C48</f>
        <v>カレー</v>
      </c>
      <c r="H47" s="33">
        <f>発注書!D48</f>
        <v>0</v>
      </c>
      <c r="I47" s="33">
        <v>0</v>
      </c>
      <c r="J47" s="33" t="str">
        <f t="shared" si="2"/>
        <v>03</v>
      </c>
      <c r="K47" s="33" t="str">
        <f>発注書!$C$5</f>
        <v>健康管理食選択型</v>
      </c>
    </row>
    <row r="48" spans="1:11" x14ac:dyDescent="0.15">
      <c r="A48" s="33">
        <f t="shared" si="0"/>
        <v>47</v>
      </c>
      <c r="B48" s="33">
        <v>2</v>
      </c>
      <c r="C48" s="33" t="str">
        <f>発注書!$C$3</f>
        <v>bb02787</v>
      </c>
      <c r="D48" s="33" t="str">
        <f>発注書!$D$3</f>
        <v>イルミナジョブ＆カレッジ千葉中央校</v>
      </c>
      <c r="E48" s="34" t="str">
        <f>発注書!$I$1</f>
        <v xml:space="preserve">2025年12月9日	</v>
      </c>
      <c r="F48" s="33" t="str">
        <f>発注書!B49</f>
        <v>03044</v>
      </c>
      <c r="G48" s="33" t="str">
        <f>発注書!C49</f>
        <v>豚肉のハニーマスタードソース</v>
      </c>
      <c r="H48" s="33">
        <f>発注書!D49</f>
        <v>0</v>
      </c>
      <c r="I48" s="33">
        <v>0</v>
      </c>
      <c r="J48" s="33" t="str">
        <f t="shared" si="2"/>
        <v>03</v>
      </c>
      <c r="K48" s="33" t="str">
        <f>発注書!$C$5</f>
        <v>健康管理食選択型</v>
      </c>
    </row>
    <row r="49" spans="1:11" x14ac:dyDescent="0.15">
      <c r="A49" s="33">
        <f t="shared" si="0"/>
        <v>48</v>
      </c>
      <c r="B49" s="33">
        <v>2</v>
      </c>
      <c r="C49" s="33" t="str">
        <f>発注書!$C$3</f>
        <v>bb02787</v>
      </c>
      <c r="D49" s="33" t="str">
        <f>発注書!$D$3</f>
        <v>イルミナジョブ＆カレッジ千葉中央校</v>
      </c>
      <c r="E49" s="34" t="str">
        <f>発注書!$I$1</f>
        <v xml:space="preserve">2025年12月9日	</v>
      </c>
      <c r="F49" s="33" t="str">
        <f>発注書!B50</f>
        <v>03045</v>
      </c>
      <c r="G49" s="33" t="str">
        <f>発注書!C50</f>
        <v>ソースメンチカツ</v>
      </c>
      <c r="H49" s="33">
        <f>発注書!D50</f>
        <v>0</v>
      </c>
      <c r="I49" s="33">
        <v>0</v>
      </c>
      <c r="J49" s="33" t="str">
        <f t="shared" si="2"/>
        <v>03</v>
      </c>
      <c r="K49" s="33" t="str">
        <f>発注書!$C$5</f>
        <v>健康管理食選択型</v>
      </c>
    </row>
    <row r="50" spans="1:11" x14ac:dyDescent="0.15">
      <c r="A50" s="33">
        <f t="shared" si="0"/>
        <v>49</v>
      </c>
      <c r="B50" s="33">
        <v>2</v>
      </c>
      <c r="C50" s="33" t="str">
        <f>発注書!$C$3</f>
        <v>bb02787</v>
      </c>
      <c r="D50" s="33" t="str">
        <f>発注書!$D$3</f>
        <v>イルミナジョブ＆カレッジ千葉中央校</v>
      </c>
      <c r="E50" s="34" t="str">
        <f>発注書!$I$1</f>
        <v xml:space="preserve">2025年12月9日	</v>
      </c>
      <c r="F50" s="33" t="str">
        <f>発注書!B51</f>
        <v>03046</v>
      </c>
      <c r="G50" s="33" t="str">
        <f>発注書!C51</f>
        <v>サバのカレーマヨ焼き</v>
      </c>
      <c r="H50" s="33">
        <f>発注書!D51</f>
        <v>4</v>
      </c>
      <c r="I50" s="33">
        <v>0</v>
      </c>
      <c r="J50" s="33" t="str">
        <f t="shared" si="2"/>
        <v>03</v>
      </c>
      <c r="K50" s="33" t="str">
        <f>発注書!$C$5</f>
        <v>健康管理食選択型</v>
      </c>
    </row>
    <row r="51" spans="1:11" x14ac:dyDescent="0.15">
      <c r="A51" s="33">
        <f t="shared" si="0"/>
        <v>50</v>
      </c>
      <c r="B51" s="33">
        <v>2</v>
      </c>
      <c r="C51" s="33" t="str">
        <f>発注書!$C$3</f>
        <v>bb02787</v>
      </c>
      <c r="D51" s="33" t="str">
        <f>発注書!$D$3</f>
        <v>イルミナジョブ＆カレッジ千葉中央校</v>
      </c>
      <c r="E51" s="34" t="str">
        <f>発注書!$I$1</f>
        <v xml:space="preserve">2025年12月9日	</v>
      </c>
      <c r="F51" s="33" t="str">
        <f>発注書!B52</f>
        <v>03047</v>
      </c>
      <c r="G51" s="33" t="str">
        <f>発注書!C52</f>
        <v>さっぱりトマトのポークソテー</v>
      </c>
      <c r="H51" s="33">
        <f>発注書!D52</f>
        <v>0</v>
      </c>
      <c r="I51" s="33">
        <v>0</v>
      </c>
      <c r="J51" s="33" t="str">
        <f t="shared" si="2"/>
        <v>03</v>
      </c>
      <c r="K51" s="33" t="str">
        <f>発注書!$C$5</f>
        <v>健康管理食選択型</v>
      </c>
    </row>
    <row r="52" spans="1:11" x14ac:dyDescent="0.15">
      <c r="A52" s="33">
        <f t="shared" si="0"/>
        <v>51</v>
      </c>
      <c r="B52" s="33">
        <v>2</v>
      </c>
      <c r="C52" s="33" t="str">
        <f>発注書!$C$3</f>
        <v>bb02787</v>
      </c>
      <c r="D52" s="33" t="str">
        <f>発注書!$D$3</f>
        <v>イルミナジョブ＆カレッジ千葉中央校</v>
      </c>
      <c r="E52" s="34" t="str">
        <f>発注書!$I$1</f>
        <v xml:space="preserve">2025年12月9日	</v>
      </c>
      <c r="F52" s="33" t="str">
        <f>発注書!B53</f>
        <v>03048</v>
      </c>
      <c r="G52" s="33" t="str">
        <f>発注書!C53</f>
        <v>ヤンニョムチーズチキン</v>
      </c>
      <c r="H52" s="33">
        <f>発注書!D53</f>
        <v>0</v>
      </c>
      <c r="I52" s="33">
        <v>0</v>
      </c>
      <c r="J52" s="33" t="str">
        <f t="shared" si="2"/>
        <v>03</v>
      </c>
      <c r="K52" s="33" t="str">
        <f>発注書!$C$5</f>
        <v>健康管理食選択型</v>
      </c>
    </row>
    <row r="53" spans="1:11" x14ac:dyDescent="0.15">
      <c r="A53" s="33">
        <f t="shared" si="0"/>
        <v>52</v>
      </c>
      <c r="B53" s="33">
        <v>2</v>
      </c>
      <c r="C53" s="33" t="str">
        <f>発注書!$C$3</f>
        <v>bb02787</v>
      </c>
      <c r="D53" s="33" t="str">
        <f>発注書!$D$3</f>
        <v>イルミナジョブ＆カレッジ千葉中央校</v>
      </c>
      <c r="E53" s="34" t="str">
        <f>発注書!$I$1</f>
        <v xml:space="preserve">2025年12月9日	</v>
      </c>
      <c r="F53" s="33" t="str">
        <f>発注書!B54</f>
        <v>03049</v>
      </c>
      <c r="G53" s="33" t="str">
        <f>発注書!C54</f>
        <v>たらのムニエルホワイトソース</v>
      </c>
      <c r="H53" s="33">
        <f>発注書!D54</f>
        <v>0</v>
      </c>
      <c r="I53" s="33">
        <v>0</v>
      </c>
      <c r="J53" s="33" t="str">
        <f t="shared" si="2"/>
        <v>03</v>
      </c>
      <c r="K53" s="33" t="str">
        <f>発注書!$C$5</f>
        <v>健康管理食選択型</v>
      </c>
    </row>
    <row r="54" spans="1:11" x14ac:dyDescent="0.15">
      <c r="A54" s="33">
        <f t="shared" si="0"/>
        <v>53</v>
      </c>
      <c r="B54" s="33">
        <v>2</v>
      </c>
      <c r="C54" s="33" t="str">
        <f>発注書!$C$3</f>
        <v>bb02787</v>
      </c>
      <c r="D54" s="33" t="str">
        <f>発注書!$D$3</f>
        <v>イルミナジョブ＆カレッジ千葉中央校</v>
      </c>
      <c r="E54" s="34" t="str">
        <f>発注書!$I$1</f>
        <v xml:space="preserve">2025年12月9日	</v>
      </c>
      <c r="F54" s="33" t="str">
        <f>発注書!B55</f>
        <v>03050</v>
      </c>
      <c r="G54" s="33" t="str">
        <f>発注書!C55</f>
        <v>豆腐ハンバーグ和風きのこソース</v>
      </c>
      <c r="H54" s="33">
        <f>発注書!D55</f>
        <v>4</v>
      </c>
      <c r="I54" s="33">
        <v>0</v>
      </c>
      <c r="J54" s="33" t="str">
        <f t="shared" si="2"/>
        <v>03</v>
      </c>
      <c r="K54" s="33" t="str">
        <f>発注書!$C$5</f>
        <v>健康管理食選択型</v>
      </c>
    </row>
    <row r="55" spans="1:11" x14ac:dyDescent="0.15">
      <c r="A55" s="33">
        <f t="shared" si="0"/>
        <v>54</v>
      </c>
      <c r="B55" s="33">
        <v>2</v>
      </c>
      <c r="C55" s="33" t="str">
        <f>発注書!$C$3</f>
        <v>bb02787</v>
      </c>
      <c r="D55" s="33" t="str">
        <f>発注書!$D$3</f>
        <v>イルミナジョブ＆カレッジ千葉中央校</v>
      </c>
      <c r="E55" s="34" t="str">
        <f>発注書!$I$1</f>
        <v xml:space="preserve">2025年12月9日	</v>
      </c>
      <c r="F55" s="33" t="str">
        <f>発注書!B56</f>
        <v>03051</v>
      </c>
      <c r="G55" s="33" t="str">
        <f>発注書!C56</f>
        <v>牛肉のスタミナ炒め</v>
      </c>
      <c r="H55" s="33">
        <f>発注書!D56</f>
        <v>0</v>
      </c>
      <c r="I55" s="33">
        <v>0</v>
      </c>
      <c r="J55" s="33" t="str">
        <f t="shared" si="2"/>
        <v>03</v>
      </c>
      <c r="K55" s="33" t="str">
        <f>発注書!$C$5</f>
        <v>健康管理食選択型</v>
      </c>
    </row>
    <row r="56" spans="1:11" x14ac:dyDescent="0.15">
      <c r="A56" s="33">
        <f t="shared" si="0"/>
        <v>55</v>
      </c>
      <c r="B56" s="33">
        <v>2</v>
      </c>
      <c r="C56" s="33" t="str">
        <f>発注書!$C$3</f>
        <v>bb02787</v>
      </c>
      <c r="D56" s="33" t="str">
        <f>発注書!$D$3</f>
        <v>イルミナジョブ＆カレッジ千葉中央校</v>
      </c>
      <c r="E56" s="34" t="str">
        <f>発注書!$I$1</f>
        <v xml:space="preserve">2025年12月9日	</v>
      </c>
      <c r="F56" s="33" t="str">
        <f>発注書!B57</f>
        <v>03052</v>
      </c>
      <c r="G56" s="33" t="str">
        <f>発注書!C57</f>
        <v>白身魚のパイタン鍋風</v>
      </c>
      <c r="H56" s="33">
        <f>発注書!D57</f>
        <v>0</v>
      </c>
      <c r="I56" s="33">
        <v>0</v>
      </c>
      <c r="J56" s="33" t="str">
        <f t="shared" si="2"/>
        <v>03</v>
      </c>
      <c r="K56" s="33" t="str">
        <f>発注書!$C$5</f>
        <v>健康管理食選択型</v>
      </c>
    </row>
    <row r="57" spans="1:11" x14ac:dyDescent="0.15">
      <c r="A57" s="33">
        <f t="shared" si="0"/>
        <v>56</v>
      </c>
      <c r="B57" s="33">
        <v>2</v>
      </c>
      <c r="C57" s="33" t="str">
        <f>発注書!$C$3</f>
        <v>bb02787</v>
      </c>
      <c r="D57" s="33" t="str">
        <f>発注書!$D$3</f>
        <v>イルミナジョブ＆カレッジ千葉中央校</v>
      </c>
      <c r="E57" s="34" t="str">
        <f>発注書!$I$1</f>
        <v xml:space="preserve">2025年12月9日	</v>
      </c>
      <c r="F57" s="33" t="str">
        <f>発注書!B58</f>
        <v>03053</v>
      </c>
      <c r="G57" s="33" t="str">
        <f>発注書!C58</f>
        <v>ビーフカツ</v>
      </c>
      <c r="H57" s="33">
        <f>発注書!D58</f>
        <v>0</v>
      </c>
      <c r="I57" s="33">
        <v>0</v>
      </c>
      <c r="J57" s="33" t="str">
        <f t="shared" si="2"/>
        <v>03</v>
      </c>
      <c r="K57" s="33" t="str">
        <f>発注書!$C$5</f>
        <v>健康管理食選択型</v>
      </c>
    </row>
    <row r="58" spans="1:11" x14ac:dyDescent="0.15">
      <c r="A58" s="33">
        <f t="shared" si="0"/>
        <v>57</v>
      </c>
      <c r="B58" s="33">
        <v>2</v>
      </c>
      <c r="C58" s="33" t="str">
        <f>発注書!$C$3</f>
        <v>bb02787</v>
      </c>
      <c r="D58" s="33" t="str">
        <f>発注書!$D$3</f>
        <v>イルミナジョブ＆カレッジ千葉中央校</v>
      </c>
      <c r="E58" s="34" t="str">
        <f>発注書!$I$1</f>
        <v xml:space="preserve">2025年12月9日	</v>
      </c>
      <c r="F58" s="33" t="str">
        <f>発注書!B59</f>
        <v>03054</v>
      </c>
      <c r="G58" s="33" t="str">
        <f>発注書!C59</f>
        <v>クリームコロッケオーロラソース</v>
      </c>
      <c r="H58" s="33">
        <f>発注書!D59</f>
        <v>0</v>
      </c>
      <c r="I58" s="33">
        <v>0</v>
      </c>
      <c r="J58" s="33" t="str">
        <f t="shared" si="2"/>
        <v>03</v>
      </c>
      <c r="K58" s="33" t="str">
        <f>発注書!$C$5</f>
        <v>健康管理食選択型</v>
      </c>
    </row>
    <row r="59" spans="1:11" x14ac:dyDescent="0.15">
      <c r="A59" s="33">
        <f t="shared" si="0"/>
        <v>58</v>
      </c>
      <c r="B59" s="33">
        <v>2</v>
      </c>
      <c r="C59" s="33" t="str">
        <f>発注書!$C$3</f>
        <v>bb02787</v>
      </c>
      <c r="D59" s="33" t="str">
        <f>発注書!$D$3</f>
        <v>イルミナジョブ＆カレッジ千葉中央校</v>
      </c>
      <c r="E59" s="34" t="str">
        <f>発注書!$I$1</f>
        <v xml:space="preserve">2025年12月9日	</v>
      </c>
      <c r="F59" s="33" t="str">
        <f>発注書!B60</f>
        <v>03055</v>
      </c>
      <c r="G59" s="33" t="str">
        <f>発注書!C60</f>
        <v>ニンニク香る鮭のバター醤油焼き</v>
      </c>
      <c r="H59" s="33">
        <f>発注書!D60</f>
        <v>0</v>
      </c>
      <c r="I59" s="33">
        <v>0</v>
      </c>
      <c r="J59" s="33" t="str">
        <f t="shared" si="2"/>
        <v>03</v>
      </c>
      <c r="K59" s="33" t="str">
        <f>発注書!$C$5</f>
        <v>健康管理食選択型</v>
      </c>
    </row>
    <row r="60" spans="1:11" x14ac:dyDescent="0.15">
      <c r="A60" s="33">
        <f t="shared" si="0"/>
        <v>59</v>
      </c>
      <c r="B60" s="33">
        <v>2</v>
      </c>
      <c r="C60" s="33" t="str">
        <f>発注書!$C$3</f>
        <v>bb02787</v>
      </c>
      <c r="D60" s="33" t="str">
        <f>発注書!$D$3</f>
        <v>イルミナジョブ＆カレッジ千葉中央校</v>
      </c>
      <c r="E60" s="34" t="str">
        <f>発注書!$I$1</f>
        <v xml:space="preserve">2025年12月9日	</v>
      </c>
      <c r="F60" s="33" t="str">
        <f>発注書!B61</f>
        <v>03056</v>
      </c>
      <c r="G60" s="33" t="str">
        <f>発注書!C61</f>
        <v>鶏つくねのやみつき味噌だれ</v>
      </c>
      <c r="H60" s="33">
        <f>発注書!D61</f>
        <v>0</v>
      </c>
      <c r="I60" s="33">
        <v>0</v>
      </c>
      <c r="J60" s="33" t="str">
        <f t="shared" si="2"/>
        <v>03</v>
      </c>
      <c r="K60" s="33" t="str">
        <f>発注書!$C$5</f>
        <v>健康管理食選択型</v>
      </c>
    </row>
    <row r="61" spans="1:11" x14ac:dyDescent="0.15">
      <c r="A61" s="33">
        <f t="shared" si="0"/>
        <v>60</v>
      </c>
      <c r="B61" s="33">
        <v>2</v>
      </c>
      <c r="C61" s="33" t="str">
        <f>発注書!$C$3</f>
        <v>bb02787</v>
      </c>
      <c r="D61" s="33" t="str">
        <f>発注書!$D$3</f>
        <v>イルミナジョブ＆カレッジ千葉中央校</v>
      </c>
      <c r="E61" s="34" t="str">
        <f>発注書!$I$1</f>
        <v xml:space="preserve">2025年12月9日	</v>
      </c>
      <c r="F61" s="33" t="str">
        <f>発注書!B62</f>
        <v>03057</v>
      </c>
      <c r="G61" s="33" t="str">
        <f>発注書!C62</f>
        <v>新春御膳</v>
      </c>
      <c r="H61" s="33">
        <f>発注書!D62</f>
        <v>0</v>
      </c>
      <c r="I61" s="33">
        <v>0</v>
      </c>
      <c r="J61" s="33" t="str">
        <f t="shared" si="2"/>
        <v>03</v>
      </c>
      <c r="K61" s="33" t="str">
        <f>発注書!$C$5</f>
        <v>健康管理食選択型</v>
      </c>
    </row>
    <row r="62" spans="1:11" x14ac:dyDescent="0.15">
      <c r="A62" s="33">
        <f t="shared" si="0"/>
        <v>61</v>
      </c>
      <c r="B62" s="33">
        <v>2</v>
      </c>
      <c r="C62" s="33" t="str">
        <f>発注書!$C$3</f>
        <v>bb02787</v>
      </c>
      <c r="D62" s="33" t="str">
        <f>発注書!$D$3</f>
        <v>イルミナジョブ＆カレッジ千葉中央校</v>
      </c>
      <c r="E62" s="34" t="str">
        <f>発注書!$I$1</f>
        <v xml:space="preserve">2025年12月9日	</v>
      </c>
      <c r="F62" s="33" t="str">
        <f>発注書!B63</f>
        <v>03058</v>
      </c>
      <c r="G62" s="33" t="str">
        <f>発注書!C63</f>
        <v/>
      </c>
      <c r="H62" s="33">
        <f>発注書!D63</f>
        <v>0</v>
      </c>
      <c r="I62" s="33">
        <v>0</v>
      </c>
      <c r="J62" s="33" t="str">
        <f t="shared" si="2"/>
        <v>03</v>
      </c>
      <c r="K62" s="33" t="str">
        <f>発注書!$C$5</f>
        <v>健康管理食選択型</v>
      </c>
    </row>
    <row r="63" spans="1:11" x14ac:dyDescent="0.15">
      <c r="A63" s="33">
        <f t="shared" si="0"/>
        <v>62</v>
      </c>
      <c r="B63" s="33">
        <v>2</v>
      </c>
      <c r="C63" s="33" t="str">
        <f>発注書!$C$3</f>
        <v>bb02787</v>
      </c>
      <c r="D63" s="33" t="str">
        <f>発注書!$D$3</f>
        <v>イルミナジョブ＆カレッジ千葉中央校</v>
      </c>
      <c r="E63" s="34" t="str">
        <f>発注書!$I$1</f>
        <v xml:space="preserve">2025年12月9日	</v>
      </c>
      <c r="F63" s="33" t="str">
        <f>発注書!B64</f>
        <v>03059</v>
      </c>
      <c r="G63" s="33" t="str">
        <f>発注書!C64</f>
        <v/>
      </c>
      <c r="H63" s="33">
        <f>発注書!D64</f>
        <v>0</v>
      </c>
      <c r="I63" s="33">
        <v>0</v>
      </c>
      <c r="J63" s="33" t="str">
        <f t="shared" si="2"/>
        <v>03</v>
      </c>
      <c r="K63" s="33" t="str">
        <f>発注書!$C$5</f>
        <v>健康管理食選択型</v>
      </c>
    </row>
    <row r="64" spans="1:11" x14ac:dyDescent="0.15">
      <c r="A64" s="33">
        <f t="shared" si="0"/>
        <v>63</v>
      </c>
      <c r="B64" s="33">
        <v>2</v>
      </c>
      <c r="C64" s="33" t="str">
        <f>発注書!$C$3</f>
        <v>bb02787</v>
      </c>
      <c r="D64" s="33" t="str">
        <f>発注書!$D$3</f>
        <v>イルミナジョブ＆カレッジ千葉中央校</v>
      </c>
      <c r="E64" s="34" t="str">
        <f>発注書!$I$1</f>
        <v xml:space="preserve">2025年12月9日	</v>
      </c>
      <c r="F64" s="33" t="str">
        <f>発注書!B65</f>
        <v>03060</v>
      </c>
      <c r="G64" s="33" t="str">
        <f>発注書!C65</f>
        <v/>
      </c>
      <c r="H64" s="33">
        <f>発注書!D65</f>
        <v>0</v>
      </c>
      <c r="I64" s="33">
        <v>0</v>
      </c>
      <c r="J64" s="33" t="str">
        <f t="shared" si="2"/>
        <v>03</v>
      </c>
      <c r="K64" s="33" t="str">
        <f>発注書!$C$5</f>
        <v>健康管理食選択型</v>
      </c>
    </row>
    <row r="65" spans="1:11" x14ac:dyDescent="0.15">
      <c r="A65" s="33">
        <f t="shared" si="0"/>
        <v>64</v>
      </c>
      <c r="B65" s="33">
        <v>2</v>
      </c>
      <c r="C65" s="33" t="str">
        <f>発注書!$C$3</f>
        <v>bb02787</v>
      </c>
      <c r="D65" s="33" t="str">
        <f>発注書!$D$3</f>
        <v>イルミナジョブ＆カレッジ千葉中央校</v>
      </c>
      <c r="E65" s="34" t="str">
        <f>発注書!$I$1</f>
        <v xml:space="preserve">2025年12月9日	</v>
      </c>
      <c r="F65" s="33" t="str">
        <f>発注書!B66</f>
        <v>03061</v>
      </c>
      <c r="G65" s="33" t="str">
        <f>発注書!C66</f>
        <v/>
      </c>
      <c r="H65" s="33">
        <f>発注書!D66</f>
        <v>0</v>
      </c>
      <c r="I65" s="33">
        <v>0</v>
      </c>
      <c r="J65" s="33" t="str">
        <f t="shared" si="2"/>
        <v>03</v>
      </c>
      <c r="K65" s="33" t="str">
        <f>発注書!$C$5</f>
        <v>健康管理食選択型</v>
      </c>
    </row>
    <row r="66" spans="1:11" x14ac:dyDescent="0.15">
      <c r="A66" s="33">
        <f t="shared" si="0"/>
        <v>65</v>
      </c>
      <c r="B66" s="33">
        <v>2</v>
      </c>
      <c r="C66" s="33" t="str">
        <f>発注書!$C$3</f>
        <v>bb02787</v>
      </c>
      <c r="D66" s="33" t="str">
        <f>発注書!$D$3</f>
        <v>イルミナジョブ＆カレッジ千葉中央校</v>
      </c>
      <c r="E66" s="34" t="str">
        <f>発注書!$I$1</f>
        <v xml:space="preserve">2025年12月9日	</v>
      </c>
      <c r="F66" s="33" t="str">
        <f>発注書!B67</f>
        <v>03062</v>
      </c>
      <c r="G66" s="33" t="str">
        <f>発注書!C67</f>
        <v/>
      </c>
      <c r="H66" s="33">
        <f>発注書!D67</f>
        <v>0</v>
      </c>
      <c r="I66" s="33">
        <v>0</v>
      </c>
      <c r="J66" s="33" t="str">
        <f t="shared" si="2"/>
        <v>03</v>
      </c>
      <c r="K66" s="33" t="str">
        <f>発注書!$C$5</f>
        <v>健康管理食選択型</v>
      </c>
    </row>
    <row r="67" spans="1:11" x14ac:dyDescent="0.15">
      <c r="A67" s="33">
        <f t="shared" si="0"/>
        <v>66</v>
      </c>
      <c r="B67" s="33">
        <v>2</v>
      </c>
      <c r="C67" s="33" t="str">
        <f>発注書!$C$3</f>
        <v>bb02787</v>
      </c>
      <c r="D67" s="33" t="str">
        <f>発注書!$D$3</f>
        <v>イルミナジョブ＆カレッジ千葉中央校</v>
      </c>
      <c r="E67" s="34" t="str">
        <f>発注書!$I$1</f>
        <v xml:space="preserve">2025年12月9日	</v>
      </c>
      <c r="F67" s="33" t="str">
        <f>発注書!B68</f>
        <v>03063</v>
      </c>
      <c r="G67" s="33" t="str">
        <f>発注書!C68</f>
        <v/>
      </c>
      <c r="H67" s="33">
        <f>発注書!D68</f>
        <v>0</v>
      </c>
      <c r="I67" s="33">
        <v>0</v>
      </c>
      <c r="J67" s="33" t="str">
        <f t="shared" si="2"/>
        <v>03</v>
      </c>
      <c r="K67" s="33" t="str">
        <f>発注書!$C$5</f>
        <v>健康管理食選択型</v>
      </c>
    </row>
    <row r="68" spans="1:11" x14ac:dyDescent="0.15">
      <c r="A68" s="33">
        <f t="shared" si="0"/>
        <v>67</v>
      </c>
      <c r="B68" s="33">
        <v>2</v>
      </c>
      <c r="C68" s="33" t="str">
        <f>発注書!$C$3</f>
        <v>bb02787</v>
      </c>
      <c r="D68" s="33" t="str">
        <f>発注書!$D$3</f>
        <v>イルミナジョブ＆カレッジ千葉中央校</v>
      </c>
      <c r="E68" s="34" t="str">
        <f>発注書!$I$1</f>
        <v xml:space="preserve">2025年12月9日	</v>
      </c>
      <c r="F68" s="33" t="str">
        <f>発注書!B69</f>
        <v>03064</v>
      </c>
      <c r="G68" s="33" t="str">
        <f>発注書!C69</f>
        <v/>
      </c>
      <c r="H68" s="33">
        <f>発注書!D69</f>
        <v>0</v>
      </c>
      <c r="I68" s="33">
        <v>0</v>
      </c>
      <c r="J68" s="33" t="str">
        <f t="shared" si="2"/>
        <v>03</v>
      </c>
      <c r="K68" s="33" t="str">
        <f>発注書!$C$5</f>
        <v>健康管理食選択型</v>
      </c>
    </row>
    <row r="69" spans="1:11" x14ac:dyDescent="0.15">
      <c r="A69" s="33">
        <f t="shared" si="0"/>
        <v>68</v>
      </c>
      <c r="B69" s="33">
        <v>2</v>
      </c>
      <c r="C69" s="33" t="str">
        <f>発注書!$C$3</f>
        <v>bb02787</v>
      </c>
      <c r="D69" s="33" t="str">
        <f>発注書!$D$3</f>
        <v>イルミナジョブ＆カレッジ千葉中央校</v>
      </c>
      <c r="E69" s="34" t="str">
        <f>発注書!$I$1</f>
        <v xml:space="preserve">2025年12月9日	</v>
      </c>
      <c r="F69" s="33" t="str">
        <f>発注書!B70</f>
        <v>03065</v>
      </c>
      <c r="G69" s="33" t="str">
        <f>発注書!C70</f>
        <v/>
      </c>
      <c r="H69" s="33">
        <f>発注書!D70</f>
        <v>0</v>
      </c>
      <c r="I69" s="33">
        <v>0</v>
      </c>
      <c r="J69" s="33" t="str">
        <f t="shared" si="2"/>
        <v>03</v>
      </c>
      <c r="K69" s="33" t="str">
        <f>発注書!$C$5</f>
        <v>健康管理食選択型</v>
      </c>
    </row>
    <row r="70" spans="1:11" x14ac:dyDescent="0.15">
      <c r="A70" s="33">
        <f t="shared" si="0"/>
        <v>69</v>
      </c>
      <c r="B70" s="33">
        <v>2</v>
      </c>
      <c r="C70" s="33" t="str">
        <f>発注書!$C$3</f>
        <v>bb02787</v>
      </c>
      <c r="D70" s="33" t="str">
        <f>発注書!$D$3</f>
        <v>イルミナジョブ＆カレッジ千葉中央校</v>
      </c>
      <c r="E70" s="34" t="str">
        <f>発注書!$I$1</f>
        <v xml:space="preserve">2025年12月9日	</v>
      </c>
      <c r="F70" s="33" t="str">
        <f>発注書!B71</f>
        <v>03066</v>
      </c>
      <c r="G70" s="33" t="str">
        <f>発注書!C71</f>
        <v/>
      </c>
      <c r="H70" s="33">
        <f>発注書!D71</f>
        <v>0</v>
      </c>
      <c r="I70" s="33">
        <v>0</v>
      </c>
      <c r="J70" s="33" t="str">
        <f t="shared" si="2"/>
        <v>03</v>
      </c>
      <c r="K70" s="33" t="str">
        <f>発注書!$C$5</f>
        <v>健康管理食選択型</v>
      </c>
    </row>
    <row r="71" spans="1:11" x14ac:dyDescent="0.15">
      <c r="A71" s="33">
        <f t="shared" si="0"/>
        <v>70</v>
      </c>
      <c r="B71" s="33">
        <v>2</v>
      </c>
      <c r="C71" s="33" t="str">
        <f>発注書!$C$3</f>
        <v>bb02787</v>
      </c>
      <c r="D71" s="33" t="str">
        <f>発注書!$D$3</f>
        <v>イルミナジョブ＆カレッジ千葉中央校</v>
      </c>
      <c r="E71" s="34" t="str">
        <f>発注書!$I$1</f>
        <v xml:space="preserve">2025年12月9日	</v>
      </c>
      <c r="F71" s="33" t="str">
        <f>発注書!B72</f>
        <v>03067</v>
      </c>
      <c r="G71" s="33" t="str">
        <f>発注書!C72</f>
        <v/>
      </c>
      <c r="H71" s="33">
        <f>発注書!D72</f>
        <v>0</v>
      </c>
      <c r="I71" s="33">
        <v>0</v>
      </c>
      <c r="J71" s="33" t="str">
        <f t="shared" si="2"/>
        <v>03</v>
      </c>
      <c r="K71" s="33" t="str">
        <f>発注書!$C$5</f>
        <v>健康管理食選択型</v>
      </c>
    </row>
    <row r="72" spans="1:11" x14ac:dyDescent="0.15">
      <c r="A72" s="33">
        <f t="shared" si="0"/>
        <v>71</v>
      </c>
      <c r="B72" s="33">
        <v>2</v>
      </c>
      <c r="C72" s="33" t="str">
        <f>発注書!$C$3</f>
        <v>bb02787</v>
      </c>
      <c r="D72" s="33" t="str">
        <f>発注書!$D$3</f>
        <v>イルミナジョブ＆カレッジ千葉中央校</v>
      </c>
      <c r="E72" s="34" t="str">
        <f>発注書!$I$1</f>
        <v xml:space="preserve">2025年12月9日	</v>
      </c>
      <c r="F72" s="33" t="str">
        <f>発注書!B73</f>
        <v>03068</v>
      </c>
      <c r="G72" s="33" t="str">
        <f>発注書!C73</f>
        <v/>
      </c>
      <c r="H72" s="33">
        <f>発注書!D73</f>
        <v>0</v>
      </c>
      <c r="I72" s="33">
        <v>0</v>
      </c>
      <c r="J72" s="33" t="str">
        <f t="shared" si="2"/>
        <v>03</v>
      </c>
      <c r="K72" s="33" t="str">
        <f>発注書!$C$5</f>
        <v>健康管理食選択型</v>
      </c>
    </row>
    <row r="73" spans="1:11" x14ac:dyDescent="0.15">
      <c r="A73" s="33">
        <f t="shared" si="0"/>
        <v>72</v>
      </c>
      <c r="B73" s="33">
        <v>2</v>
      </c>
      <c r="C73" s="33" t="str">
        <f>発注書!$C$3</f>
        <v>bb02787</v>
      </c>
      <c r="D73" s="33" t="str">
        <f>発注書!$D$3</f>
        <v>イルミナジョブ＆カレッジ千葉中央校</v>
      </c>
      <c r="E73" s="34" t="str">
        <f>発注書!$I$1</f>
        <v xml:space="preserve">2025年12月9日	</v>
      </c>
      <c r="F73" s="33" t="str">
        <f>発注書!B74</f>
        <v>03069</v>
      </c>
      <c r="G73" s="33" t="str">
        <f>発注書!C74</f>
        <v/>
      </c>
      <c r="H73" s="33">
        <f>発注書!D74</f>
        <v>0</v>
      </c>
      <c r="I73" s="33">
        <v>0</v>
      </c>
      <c r="J73" s="33" t="str">
        <f t="shared" si="2"/>
        <v>03</v>
      </c>
      <c r="K73" s="33" t="str">
        <f>発注書!$C$5</f>
        <v>健康管理食選択型</v>
      </c>
    </row>
    <row r="74" spans="1:11" x14ac:dyDescent="0.15">
      <c r="A74" s="33">
        <f t="shared" si="0"/>
        <v>73</v>
      </c>
      <c r="B74" s="33">
        <v>2</v>
      </c>
      <c r="C74" s="33" t="str">
        <f>発注書!$C$3</f>
        <v>bb02787</v>
      </c>
      <c r="D74" s="33" t="str">
        <f>発注書!$D$3</f>
        <v>イルミナジョブ＆カレッジ千葉中央校</v>
      </c>
      <c r="E74" s="34" t="str">
        <f>発注書!$I$1</f>
        <v xml:space="preserve">2025年12月9日	</v>
      </c>
      <c r="F74" s="33" t="str">
        <f>発注書!B75</f>
        <v>03070</v>
      </c>
      <c r="G74" s="33" t="str">
        <f>発注書!C75</f>
        <v/>
      </c>
      <c r="H74" s="33">
        <f>発注書!D75</f>
        <v>0</v>
      </c>
      <c r="I74" s="33">
        <v>0</v>
      </c>
      <c r="J74" s="33" t="str">
        <f t="shared" si="2"/>
        <v>03</v>
      </c>
      <c r="K74" s="33" t="str">
        <f>発注書!$C$5</f>
        <v>健康管理食選択型</v>
      </c>
    </row>
    <row r="75" spans="1:11" x14ac:dyDescent="0.15">
      <c r="A75" s="33">
        <f t="shared" si="0"/>
        <v>74</v>
      </c>
      <c r="B75" s="33">
        <v>2</v>
      </c>
      <c r="C75" s="33" t="str">
        <f>発注書!$C$3</f>
        <v>bb02787</v>
      </c>
      <c r="D75" s="33" t="str">
        <f>発注書!$D$3</f>
        <v>イルミナジョブ＆カレッジ千葉中央校</v>
      </c>
      <c r="E75" s="34" t="str">
        <f>発注書!$I$1</f>
        <v xml:space="preserve">2025年12月9日	</v>
      </c>
      <c r="F75" s="33" t="str">
        <f>発注書!B76</f>
        <v/>
      </c>
      <c r="G75" s="33" t="str">
        <f>発注書!C76</f>
        <v/>
      </c>
      <c r="H75" s="33">
        <f>発注書!D76</f>
        <v>0</v>
      </c>
      <c r="I75" s="33">
        <v>0</v>
      </c>
      <c r="J75" s="33" t="str">
        <f t="shared" si="2"/>
        <v/>
      </c>
      <c r="K75" s="33" t="str">
        <f>発注書!$C$5</f>
        <v>健康管理食選択型</v>
      </c>
    </row>
    <row r="76" spans="1:11" x14ac:dyDescent="0.15">
      <c r="A76" s="33">
        <f t="shared" si="0"/>
        <v>75</v>
      </c>
      <c r="B76" s="33">
        <v>2</v>
      </c>
      <c r="C76" s="33" t="str">
        <f>発注書!$C$3</f>
        <v>bb02787</v>
      </c>
      <c r="D76" s="33" t="str">
        <f>発注書!$D$3</f>
        <v>イルミナジョブ＆カレッジ千葉中央校</v>
      </c>
      <c r="E76" s="34" t="str">
        <f>発注書!$I$1</f>
        <v xml:space="preserve">2025年12月9日	</v>
      </c>
      <c r="F76" s="33" t="str">
        <f>発注書!B77</f>
        <v/>
      </c>
      <c r="G76" s="33" t="str">
        <f>発注書!C77</f>
        <v/>
      </c>
      <c r="H76" s="33">
        <f>発注書!D77</f>
        <v>0</v>
      </c>
      <c r="I76" s="33">
        <v>0</v>
      </c>
      <c r="J76" s="33" t="str">
        <f t="shared" si="2"/>
        <v/>
      </c>
      <c r="K76" s="33" t="str">
        <f>発注書!$C$5</f>
        <v>健康管理食選択型</v>
      </c>
    </row>
    <row r="77" spans="1:11" x14ac:dyDescent="0.15">
      <c r="A77" s="33">
        <f t="shared" si="0"/>
        <v>76</v>
      </c>
      <c r="B77" s="33">
        <v>2</v>
      </c>
      <c r="C77" s="33" t="str">
        <f>発注書!$C$3</f>
        <v>bb02787</v>
      </c>
      <c r="D77" s="33" t="str">
        <f>発注書!$D$3</f>
        <v>イルミナジョブ＆カレッジ千葉中央校</v>
      </c>
      <c r="E77" s="34" t="str">
        <f>発注書!$I$1</f>
        <v xml:space="preserve">2025年12月9日	</v>
      </c>
      <c r="F77" s="33" t="str">
        <f>発注書!B78</f>
        <v/>
      </c>
      <c r="G77" s="33" t="str">
        <f>発注書!C78</f>
        <v/>
      </c>
      <c r="H77" s="33">
        <f>発注書!D78</f>
        <v>0</v>
      </c>
      <c r="I77" s="33">
        <v>0</v>
      </c>
      <c r="J77" s="33" t="str">
        <f t="shared" si="2"/>
        <v/>
      </c>
      <c r="K77" s="33" t="str">
        <f>発注書!$C$5</f>
        <v>健康管理食選択型</v>
      </c>
    </row>
    <row r="78" spans="1:11" x14ac:dyDescent="0.15">
      <c r="A78" s="33">
        <f t="shared" si="0"/>
        <v>77</v>
      </c>
      <c r="B78" s="33">
        <v>2</v>
      </c>
      <c r="C78" s="33" t="str">
        <f>発注書!$C$3</f>
        <v>bb02787</v>
      </c>
      <c r="D78" s="33" t="str">
        <f>発注書!$D$3</f>
        <v>イルミナジョブ＆カレッジ千葉中央校</v>
      </c>
      <c r="E78" s="34" t="str">
        <f>発注書!$I$1</f>
        <v xml:space="preserve">2025年12月9日	</v>
      </c>
      <c r="F78" s="33" t="str">
        <f>発注書!B79</f>
        <v/>
      </c>
      <c r="G78" s="33" t="str">
        <f>発注書!C79</f>
        <v/>
      </c>
      <c r="H78" s="33">
        <f>発注書!D79</f>
        <v>0</v>
      </c>
      <c r="I78" s="33">
        <v>0</v>
      </c>
      <c r="J78" s="33" t="str">
        <f t="shared" si="2"/>
        <v/>
      </c>
      <c r="K78" s="33" t="str">
        <f>発注書!$C$5</f>
        <v>健康管理食選択型</v>
      </c>
    </row>
    <row r="79" spans="1:11" x14ac:dyDescent="0.15">
      <c r="A79" s="33">
        <f t="shared" si="0"/>
        <v>78</v>
      </c>
      <c r="B79" s="33">
        <v>2</v>
      </c>
      <c r="C79" s="33" t="str">
        <f>発注書!$C$3</f>
        <v>bb02787</v>
      </c>
      <c r="D79" s="33" t="str">
        <f>発注書!$D$3</f>
        <v>イルミナジョブ＆カレッジ千葉中央校</v>
      </c>
      <c r="E79" s="34" t="str">
        <f>発注書!$I$1</f>
        <v xml:space="preserve">2025年12月9日	</v>
      </c>
      <c r="F79" s="33" t="str">
        <f>発注書!B80</f>
        <v/>
      </c>
      <c r="G79" s="33" t="str">
        <f>発注書!C80</f>
        <v/>
      </c>
      <c r="H79" s="33">
        <f>発注書!D80</f>
        <v>0</v>
      </c>
      <c r="I79" s="33">
        <v>0</v>
      </c>
      <c r="J79" s="33" t="str">
        <f t="shared" si="2"/>
        <v/>
      </c>
      <c r="K79" s="33" t="str">
        <f>発注書!$C$5</f>
        <v>健康管理食選択型</v>
      </c>
    </row>
    <row r="80" spans="1:11" x14ac:dyDescent="0.15">
      <c r="A80" s="33">
        <f t="shared" si="0"/>
        <v>79</v>
      </c>
      <c r="B80" s="33">
        <v>2</v>
      </c>
      <c r="C80" s="33" t="str">
        <f>発注書!$C$3</f>
        <v>bb02787</v>
      </c>
      <c r="D80" s="33" t="str">
        <f>発注書!$D$3</f>
        <v>イルミナジョブ＆カレッジ千葉中央校</v>
      </c>
      <c r="E80" s="34" t="str">
        <f>発注書!$I$1</f>
        <v xml:space="preserve">2025年12月9日	</v>
      </c>
      <c r="F80" s="33" t="str">
        <f>発注書!B81</f>
        <v/>
      </c>
      <c r="G80" s="33" t="str">
        <f>発注書!C81</f>
        <v/>
      </c>
      <c r="H80" s="33">
        <f>発注書!D81</f>
        <v>0</v>
      </c>
      <c r="I80" s="33">
        <v>0</v>
      </c>
      <c r="J80" s="33" t="str">
        <f t="shared" si="2"/>
        <v/>
      </c>
      <c r="K80" s="33" t="str">
        <f>発注書!$C$5</f>
        <v>健康管理食選択型</v>
      </c>
    </row>
    <row r="81" spans="1:11" x14ac:dyDescent="0.15">
      <c r="A81" s="33">
        <f t="shared" si="0"/>
        <v>80</v>
      </c>
      <c r="B81" s="33">
        <v>2</v>
      </c>
      <c r="C81" s="33" t="str">
        <f>発注書!$C$3</f>
        <v>bb02787</v>
      </c>
      <c r="D81" s="33" t="str">
        <f>発注書!$D$3</f>
        <v>イルミナジョブ＆カレッジ千葉中央校</v>
      </c>
      <c r="E81" s="34" t="str">
        <f>発注書!$I$1</f>
        <v xml:space="preserve">2025年12月9日	</v>
      </c>
      <c r="F81" s="33" t="str">
        <f>発注書!B82</f>
        <v/>
      </c>
      <c r="G81" s="33" t="str">
        <f>発注書!C82</f>
        <v/>
      </c>
      <c r="H81" s="33">
        <f>発注書!D82</f>
        <v>0</v>
      </c>
      <c r="I81" s="33">
        <v>0</v>
      </c>
      <c r="J81" s="33" t="str">
        <f t="shared" si="2"/>
        <v/>
      </c>
      <c r="K81" s="33" t="str">
        <f>発注書!$C$5</f>
        <v>健康管理食選択型</v>
      </c>
    </row>
    <row r="82" spans="1:11" x14ac:dyDescent="0.15">
      <c r="A82" s="33">
        <f t="shared" si="0"/>
        <v>81</v>
      </c>
      <c r="B82" s="33">
        <v>2</v>
      </c>
      <c r="C82" s="33" t="str">
        <f>発注書!$C$3</f>
        <v>bb02787</v>
      </c>
      <c r="D82" s="33" t="str">
        <f>発注書!$D$3</f>
        <v>イルミナジョブ＆カレッジ千葉中央校</v>
      </c>
      <c r="E82" s="34" t="str">
        <f>発注書!$I$1</f>
        <v xml:space="preserve">2025年12月9日	</v>
      </c>
      <c r="F82" s="33" t="str">
        <f>発注書!B83</f>
        <v/>
      </c>
      <c r="G82" s="33" t="str">
        <f>発注書!C83</f>
        <v/>
      </c>
      <c r="H82" s="33">
        <f>発注書!D83</f>
        <v>0</v>
      </c>
      <c r="I82" s="33">
        <v>0</v>
      </c>
      <c r="J82" s="33" t="str">
        <f t="shared" si="2"/>
        <v/>
      </c>
      <c r="K82" s="33" t="str">
        <f>発注書!$C$5</f>
        <v>健康管理食選択型</v>
      </c>
    </row>
    <row r="83" spans="1:11" x14ac:dyDescent="0.15">
      <c r="A83" s="33">
        <f t="shared" si="0"/>
        <v>82</v>
      </c>
      <c r="B83" s="33">
        <v>2</v>
      </c>
      <c r="C83" s="33" t="str">
        <f>発注書!$C$3</f>
        <v>bb02787</v>
      </c>
      <c r="D83" s="33" t="str">
        <f>発注書!$D$3</f>
        <v>イルミナジョブ＆カレッジ千葉中央校</v>
      </c>
      <c r="E83" s="34" t="str">
        <f>発注書!$I$1</f>
        <v xml:space="preserve">2025年12月9日	</v>
      </c>
      <c r="F83" s="33" t="str">
        <f>発注書!B84</f>
        <v/>
      </c>
      <c r="G83" s="33" t="str">
        <f>発注書!C84</f>
        <v/>
      </c>
      <c r="H83" s="33">
        <f>発注書!D84</f>
        <v>0</v>
      </c>
      <c r="I83" s="33">
        <v>0</v>
      </c>
      <c r="J83" s="33" t="str">
        <f t="shared" si="2"/>
        <v/>
      </c>
      <c r="K83" s="33" t="str">
        <f>発注書!$C$5</f>
        <v>健康管理食選択型</v>
      </c>
    </row>
    <row r="84" spans="1:11" x14ac:dyDescent="0.15">
      <c r="A84" s="33">
        <f t="shared" si="0"/>
        <v>83</v>
      </c>
      <c r="B84" s="33">
        <v>2</v>
      </c>
      <c r="C84" s="33" t="str">
        <f>発注書!$C$3</f>
        <v>bb02787</v>
      </c>
      <c r="D84" s="33" t="str">
        <f>発注書!$D$3</f>
        <v>イルミナジョブ＆カレッジ千葉中央校</v>
      </c>
      <c r="E84" s="34" t="str">
        <f>発注書!$I$1</f>
        <v xml:space="preserve">2025年12月9日	</v>
      </c>
      <c r="F84" s="33" t="str">
        <f>発注書!B85</f>
        <v/>
      </c>
      <c r="G84" s="33" t="str">
        <f>発注書!C85</f>
        <v/>
      </c>
      <c r="H84" s="33">
        <f>発注書!D85</f>
        <v>0</v>
      </c>
      <c r="I84" s="33">
        <v>0</v>
      </c>
      <c r="J84" s="33" t="str">
        <f t="shared" si="2"/>
        <v/>
      </c>
      <c r="K84" s="33" t="str">
        <f>発注書!$C$5</f>
        <v>健康管理食選択型</v>
      </c>
    </row>
    <row r="85" spans="1:11" x14ac:dyDescent="0.15">
      <c r="A85" s="33">
        <f t="shared" si="0"/>
        <v>84</v>
      </c>
      <c r="B85" s="33">
        <v>2</v>
      </c>
      <c r="C85" s="33" t="str">
        <f>発注書!$C$3</f>
        <v>bb02787</v>
      </c>
      <c r="D85" s="33" t="str">
        <f>発注書!$D$3</f>
        <v>イルミナジョブ＆カレッジ千葉中央校</v>
      </c>
      <c r="E85" s="34" t="str">
        <f>発注書!$I$1</f>
        <v xml:space="preserve">2025年12月9日	</v>
      </c>
      <c r="F85" s="33" t="str">
        <f>発注書!B86</f>
        <v/>
      </c>
      <c r="G85" s="33" t="str">
        <f>発注書!C86</f>
        <v/>
      </c>
      <c r="H85" s="33">
        <f>発注書!D86</f>
        <v>0</v>
      </c>
      <c r="I85" s="33">
        <v>0</v>
      </c>
      <c r="J85" s="33" t="str">
        <f t="shared" si="2"/>
        <v/>
      </c>
      <c r="K85" s="33" t="str">
        <f>発注書!$C$5</f>
        <v>健康管理食選択型</v>
      </c>
    </row>
    <row r="86" spans="1:11" x14ac:dyDescent="0.15">
      <c r="A86" s="33">
        <f t="shared" si="0"/>
        <v>85</v>
      </c>
      <c r="B86" s="33">
        <v>2</v>
      </c>
      <c r="C86" s="33" t="str">
        <f>発注書!$C$3</f>
        <v>bb02787</v>
      </c>
      <c r="D86" s="33" t="str">
        <f>発注書!$D$3</f>
        <v>イルミナジョブ＆カレッジ千葉中央校</v>
      </c>
      <c r="E86" s="34" t="str">
        <f>発注書!$I$1</f>
        <v xml:space="preserve">2025年12月9日	</v>
      </c>
      <c r="F86" s="33" t="str">
        <f>発注書!E6</f>
        <v/>
      </c>
      <c r="G86" s="33" t="str">
        <f>発注書!F6</f>
        <v/>
      </c>
      <c r="H86" s="33">
        <f>発注書!G6</f>
        <v>0</v>
      </c>
      <c r="I86" s="33">
        <v>0</v>
      </c>
      <c r="J86" s="33" t="str">
        <f t="shared" si="1"/>
        <v/>
      </c>
      <c r="K86" s="33" t="e">
        <f>発注書!$F$5</f>
        <v>#N/A</v>
      </c>
    </row>
    <row r="87" spans="1:11" x14ac:dyDescent="0.15">
      <c r="A87" s="33">
        <f t="shared" si="0"/>
        <v>86</v>
      </c>
      <c r="B87" s="33">
        <v>2</v>
      </c>
      <c r="C87" s="33" t="str">
        <f>発注書!$C$3</f>
        <v>bb02787</v>
      </c>
      <c r="D87" s="33" t="str">
        <f>発注書!$D$3</f>
        <v>イルミナジョブ＆カレッジ千葉中央校</v>
      </c>
      <c r="E87" s="34" t="str">
        <f>発注書!$I$1</f>
        <v xml:space="preserve">2025年12月9日	</v>
      </c>
      <c r="F87" s="33" t="str">
        <f>発注書!E7</f>
        <v/>
      </c>
      <c r="G87" s="33" t="str">
        <f>発注書!F7</f>
        <v/>
      </c>
      <c r="H87" s="33">
        <f>発注書!G7</f>
        <v>0</v>
      </c>
      <c r="I87" s="33">
        <v>0</v>
      </c>
      <c r="J87" s="33" t="str">
        <f t="shared" si="1"/>
        <v/>
      </c>
      <c r="K87" s="33" t="e">
        <f>発注書!$F$5</f>
        <v>#N/A</v>
      </c>
    </row>
    <row r="88" spans="1:11" x14ac:dyDescent="0.15">
      <c r="A88" s="33">
        <f t="shared" si="0"/>
        <v>87</v>
      </c>
      <c r="B88" s="33">
        <v>2</v>
      </c>
      <c r="C88" s="33" t="str">
        <f>発注書!$C$3</f>
        <v>bb02787</v>
      </c>
      <c r="D88" s="33" t="str">
        <f>発注書!$D$3</f>
        <v>イルミナジョブ＆カレッジ千葉中央校</v>
      </c>
      <c r="E88" s="34" t="str">
        <f>発注書!$I$1</f>
        <v xml:space="preserve">2025年12月9日	</v>
      </c>
      <c r="F88" s="33" t="str">
        <f>発注書!E8</f>
        <v/>
      </c>
      <c r="G88" s="33" t="str">
        <f>発注書!F8</f>
        <v/>
      </c>
      <c r="H88" s="33">
        <f>発注書!G8</f>
        <v>0</v>
      </c>
      <c r="I88" s="33">
        <v>0</v>
      </c>
      <c r="J88" s="33" t="str">
        <f t="shared" si="1"/>
        <v/>
      </c>
      <c r="K88" s="33" t="e">
        <f>発注書!$F$5</f>
        <v>#N/A</v>
      </c>
    </row>
    <row r="89" spans="1:11" x14ac:dyDescent="0.15">
      <c r="A89" s="33">
        <f t="shared" si="0"/>
        <v>88</v>
      </c>
      <c r="B89" s="33">
        <v>2</v>
      </c>
      <c r="C89" s="33" t="str">
        <f>発注書!$C$3</f>
        <v>bb02787</v>
      </c>
      <c r="D89" s="33" t="str">
        <f>発注書!$D$3</f>
        <v>イルミナジョブ＆カレッジ千葉中央校</v>
      </c>
      <c r="E89" s="34" t="str">
        <f>発注書!$I$1</f>
        <v xml:space="preserve">2025年12月9日	</v>
      </c>
      <c r="F89" s="33" t="str">
        <f>発注書!E9</f>
        <v/>
      </c>
      <c r="G89" s="33" t="str">
        <f>発注書!F9</f>
        <v/>
      </c>
      <c r="H89" s="33">
        <f>発注書!G9</f>
        <v>0</v>
      </c>
      <c r="I89" s="33">
        <v>0</v>
      </c>
      <c r="J89" s="33" t="str">
        <f t="shared" si="1"/>
        <v/>
      </c>
      <c r="K89" s="33" t="e">
        <f>発注書!$F$5</f>
        <v>#N/A</v>
      </c>
    </row>
    <row r="90" spans="1:11" x14ac:dyDescent="0.15">
      <c r="A90" s="33">
        <f t="shared" si="0"/>
        <v>89</v>
      </c>
      <c r="B90" s="33">
        <v>2</v>
      </c>
      <c r="C90" s="33" t="str">
        <f>発注書!$C$3</f>
        <v>bb02787</v>
      </c>
      <c r="D90" s="33" t="str">
        <f>発注書!$D$3</f>
        <v>イルミナジョブ＆カレッジ千葉中央校</v>
      </c>
      <c r="E90" s="34" t="str">
        <f>発注書!$I$1</f>
        <v xml:space="preserve">2025年12月9日	</v>
      </c>
      <c r="F90" s="33" t="str">
        <f>発注書!E10</f>
        <v/>
      </c>
      <c r="G90" s="33" t="str">
        <f>発注書!F10</f>
        <v/>
      </c>
      <c r="H90" s="33">
        <f>発注書!G10</f>
        <v>0</v>
      </c>
      <c r="I90" s="33">
        <v>0</v>
      </c>
      <c r="J90" s="33" t="str">
        <f t="shared" si="1"/>
        <v/>
      </c>
      <c r="K90" s="33" t="e">
        <f>発注書!$F$5</f>
        <v>#N/A</v>
      </c>
    </row>
    <row r="91" spans="1:11" x14ac:dyDescent="0.15">
      <c r="A91" s="33">
        <f t="shared" si="0"/>
        <v>90</v>
      </c>
      <c r="B91" s="33">
        <v>2</v>
      </c>
      <c r="C91" s="33" t="str">
        <f>発注書!$C$3</f>
        <v>bb02787</v>
      </c>
      <c r="D91" s="33" t="str">
        <f>発注書!$D$3</f>
        <v>イルミナジョブ＆カレッジ千葉中央校</v>
      </c>
      <c r="E91" s="34" t="str">
        <f>発注書!$I$1</f>
        <v xml:space="preserve">2025年12月9日	</v>
      </c>
      <c r="F91" s="33" t="str">
        <f>発注書!E11</f>
        <v/>
      </c>
      <c r="G91" s="33" t="str">
        <f>発注書!F11</f>
        <v/>
      </c>
      <c r="H91" s="33">
        <f>発注書!G11</f>
        <v>0</v>
      </c>
      <c r="I91" s="33">
        <v>0</v>
      </c>
      <c r="J91" s="33" t="str">
        <f t="shared" si="1"/>
        <v/>
      </c>
      <c r="K91" s="33" t="e">
        <f>発注書!$F$5</f>
        <v>#N/A</v>
      </c>
    </row>
    <row r="92" spans="1:11" x14ac:dyDescent="0.15">
      <c r="A92" s="33">
        <f t="shared" si="0"/>
        <v>91</v>
      </c>
      <c r="B92" s="33">
        <v>2</v>
      </c>
      <c r="C92" s="33" t="str">
        <f>発注書!$C$3</f>
        <v>bb02787</v>
      </c>
      <c r="D92" s="33" t="str">
        <f>発注書!$D$3</f>
        <v>イルミナジョブ＆カレッジ千葉中央校</v>
      </c>
      <c r="E92" s="34" t="str">
        <f>発注書!$I$1</f>
        <v xml:space="preserve">2025年12月9日	</v>
      </c>
      <c r="F92" s="33" t="str">
        <f>発注書!E12</f>
        <v/>
      </c>
      <c r="G92" s="33" t="str">
        <f>発注書!F12</f>
        <v/>
      </c>
      <c r="H92" s="33">
        <f>発注書!G12</f>
        <v>0</v>
      </c>
      <c r="I92" s="33">
        <v>0</v>
      </c>
      <c r="J92" s="33" t="str">
        <f t="shared" si="1"/>
        <v/>
      </c>
      <c r="K92" s="33" t="e">
        <f>発注書!$F$5</f>
        <v>#N/A</v>
      </c>
    </row>
    <row r="93" spans="1:11" x14ac:dyDescent="0.15">
      <c r="A93" s="33">
        <f t="shared" si="0"/>
        <v>92</v>
      </c>
      <c r="B93" s="33">
        <v>2</v>
      </c>
      <c r="C93" s="33" t="str">
        <f>発注書!$C$3</f>
        <v>bb02787</v>
      </c>
      <c r="D93" s="33" t="str">
        <f>発注書!$D$3</f>
        <v>イルミナジョブ＆カレッジ千葉中央校</v>
      </c>
      <c r="E93" s="34" t="str">
        <f>発注書!$I$1</f>
        <v xml:space="preserve">2025年12月9日	</v>
      </c>
      <c r="F93" s="33" t="str">
        <f>発注書!E13</f>
        <v/>
      </c>
      <c r="G93" s="33" t="str">
        <f>発注書!F13</f>
        <v/>
      </c>
      <c r="H93" s="33">
        <f>発注書!G13</f>
        <v>0</v>
      </c>
      <c r="I93" s="33">
        <v>0</v>
      </c>
      <c r="J93" s="33" t="str">
        <f t="shared" si="1"/>
        <v/>
      </c>
      <c r="K93" s="33" t="e">
        <f>発注書!$F$5</f>
        <v>#N/A</v>
      </c>
    </row>
    <row r="94" spans="1:11" x14ac:dyDescent="0.15">
      <c r="A94" s="33">
        <f t="shared" si="0"/>
        <v>93</v>
      </c>
      <c r="B94" s="33">
        <v>2</v>
      </c>
      <c r="C94" s="33" t="str">
        <f>発注書!$C$3</f>
        <v>bb02787</v>
      </c>
      <c r="D94" s="33" t="str">
        <f>発注書!$D$3</f>
        <v>イルミナジョブ＆カレッジ千葉中央校</v>
      </c>
      <c r="E94" s="34" t="str">
        <f>発注書!$I$1</f>
        <v xml:space="preserve">2025年12月9日	</v>
      </c>
      <c r="F94" s="33" t="str">
        <f>発注書!E14</f>
        <v/>
      </c>
      <c r="G94" s="33" t="str">
        <f>発注書!F14</f>
        <v/>
      </c>
      <c r="H94" s="33">
        <f>発注書!G14</f>
        <v>0</v>
      </c>
      <c r="I94" s="33">
        <v>0</v>
      </c>
      <c r="J94" s="33" t="str">
        <f t="shared" si="1"/>
        <v/>
      </c>
      <c r="K94" s="33" t="e">
        <f>発注書!$F$5</f>
        <v>#N/A</v>
      </c>
    </row>
    <row r="95" spans="1:11" x14ac:dyDescent="0.15">
      <c r="A95" s="33">
        <f t="shared" si="0"/>
        <v>94</v>
      </c>
      <c r="B95" s="33">
        <v>2</v>
      </c>
      <c r="C95" s="33" t="str">
        <f>発注書!$C$3</f>
        <v>bb02787</v>
      </c>
      <c r="D95" s="33" t="str">
        <f>発注書!$D$3</f>
        <v>イルミナジョブ＆カレッジ千葉中央校</v>
      </c>
      <c r="E95" s="34" t="str">
        <f>発注書!$I$1</f>
        <v xml:space="preserve">2025年12月9日	</v>
      </c>
      <c r="F95" s="33" t="str">
        <f>発注書!E15</f>
        <v/>
      </c>
      <c r="G95" s="33" t="str">
        <f>発注書!F15</f>
        <v/>
      </c>
      <c r="H95" s="33">
        <f>発注書!G15</f>
        <v>0</v>
      </c>
      <c r="I95" s="33">
        <v>0</v>
      </c>
      <c r="J95" s="33" t="str">
        <f t="shared" si="1"/>
        <v/>
      </c>
      <c r="K95" s="33" t="e">
        <f>発注書!$F$5</f>
        <v>#N/A</v>
      </c>
    </row>
    <row r="96" spans="1:11" x14ac:dyDescent="0.15">
      <c r="A96" s="33">
        <f t="shared" si="0"/>
        <v>95</v>
      </c>
      <c r="B96" s="33">
        <v>2</v>
      </c>
      <c r="C96" s="33" t="str">
        <f>発注書!$C$3</f>
        <v>bb02787</v>
      </c>
      <c r="D96" s="33" t="str">
        <f>発注書!$D$3</f>
        <v>イルミナジョブ＆カレッジ千葉中央校</v>
      </c>
      <c r="E96" s="34" t="str">
        <f>発注書!$I$1</f>
        <v xml:space="preserve">2025年12月9日	</v>
      </c>
      <c r="F96" s="33" t="str">
        <f>発注書!E16</f>
        <v/>
      </c>
      <c r="G96" s="33" t="str">
        <f>発注書!F16</f>
        <v/>
      </c>
      <c r="H96" s="33">
        <f>発注書!G16</f>
        <v>0</v>
      </c>
      <c r="I96" s="33">
        <v>0</v>
      </c>
      <c r="J96" s="33" t="str">
        <f t="shared" si="1"/>
        <v/>
      </c>
      <c r="K96" s="33" t="e">
        <f>発注書!$F$5</f>
        <v>#N/A</v>
      </c>
    </row>
    <row r="97" spans="1:11" x14ac:dyDescent="0.15">
      <c r="A97" s="33">
        <f t="shared" si="0"/>
        <v>96</v>
      </c>
      <c r="B97" s="33">
        <v>2</v>
      </c>
      <c r="C97" s="33" t="str">
        <f>発注書!$C$3</f>
        <v>bb02787</v>
      </c>
      <c r="D97" s="33" t="str">
        <f>発注書!$D$3</f>
        <v>イルミナジョブ＆カレッジ千葉中央校</v>
      </c>
      <c r="E97" s="34" t="str">
        <f>発注書!$I$1</f>
        <v xml:space="preserve">2025年12月9日	</v>
      </c>
      <c r="F97" s="33" t="str">
        <f>発注書!E17</f>
        <v/>
      </c>
      <c r="G97" s="33" t="str">
        <f>発注書!F17</f>
        <v/>
      </c>
      <c r="H97" s="33">
        <f>発注書!G17</f>
        <v>0</v>
      </c>
      <c r="I97" s="33">
        <v>0</v>
      </c>
      <c r="J97" s="33" t="str">
        <f t="shared" si="1"/>
        <v/>
      </c>
      <c r="K97" s="33" t="e">
        <f>発注書!$F$5</f>
        <v>#N/A</v>
      </c>
    </row>
    <row r="98" spans="1:11" x14ac:dyDescent="0.15">
      <c r="A98" s="33">
        <f t="shared" si="0"/>
        <v>97</v>
      </c>
      <c r="B98" s="33">
        <v>2</v>
      </c>
      <c r="C98" s="33" t="str">
        <f>発注書!$C$3</f>
        <v>bb02787</v>
      </c>
      <c r="D98" s="33" t="str">
        <f>発注書!$D$3</f>
        <v>イルミナジョブ＆カレッジ千葉中央校</v>
      </c>
      <c r="E98" s="34" t="str">
        <f>発注書!$I$1</f>
        <v xml:space="preserve">2025年12月9日	</v>
      </c>
      <c r="F98" s="33" t="str">
        <f>発注書!E18</f>
        <v/>
      </c>
      <c r="G98" s="33" t="str">
        <f>発注書!F18</f>
        <v/>
      </c>
      <c r="H98" s="33">
        <f>発注書!G18</f>
        <v>0</v>
      </c>
      <c r="I98" s="33">
        <v>0</v>
      </c>
      <c r="J98" s="33" t="str">
        <f t="shared" si="1"/>
        <v/>
      </c>
      <c r="K98" s="33" t="e">
        <f>発注書!$F$5</f>
        <v>#N/A</v>
      </c>
    </row>
    <row r="99" spans="1:11" x14ac:dyDescent="0.15">
      <c r="A99" s="33">
        <f t="shared" si="0"/>
        <v>98</v>
      </c>
      <c r="B99" s="33">
        <v>2</v>
      </c>
      <c r="C99" s="33" t="str">
        <f>発注書!$C$3</f>
        <v>bb02787</v>
      </c>
      <c r="D99" s="33" t="str">
        <f>発注書!$D$3</f>
        <v>イルミナジョブ＆カレッジ千葉中央校</v>
      </c>
      <c r="E99" s="34" t="str">
        <f>発注書!$I$1</f>
        <v xml:space="preserve">2025年12月9日	</v>
      </c>
      <c r="F99" s="33" t="str">
        <f>発注書!E19</f>
        <v/>
      </c>
      <c r="G99" s="33" t="str">
        <f>発注書!F19</f>
        <v/>
      </c>
      <c r="H99" s="33">
        <f>発注書!G19</f>
        <v>0</v>
      </c>
      <c r="I99" s="33">
        <v>0</v>
      </c>
      <c r="J99" s="33" t="str">
        <f t="shared" si="1"/>
        <v/>
      </c>
      <c r="K99" s="33" t="e">
        <f>発注書!$F$5</f>
        <v>#N/A</v>
      </c>
    </row>
    <row r="100" spans="1:11" x14ac:dyDescent="0.15">
      <c r="A100" s="33">
        <f t="shared" si="0"/>
        <v>99</v>
      </c>
      <c r="B100" s="33">
        <v>2</v>
      </c>
      <c r="C100" s="33" t="str">
        <f>発注書!$C$3</f>
        <v>bb02787</v>
      </c>
      <c r="D100" s="33" t="str">
        <f>発注書!$D$3</f>
        <v>イルミナジョブ＆カレッジ千葉中央校</v>
      </c>
      <c r="E100" s="34" t="str">
        <f>発注書!$I$1</f>
        <v xml:space="preserve">2025年12月9日	</v>
      </c>
      <c r="F100" s="33" t="str">
        <f>発注書!E20</f>
        <v/>
      </c>
      <c r="G100" s="33" t="str">
        <f>発注書!F20</f>
        <v/>
      </c>
      <c r="H100" s="33">
        <f>発注書!G20</f>
        <v>0</v>
      </c>
      <c r="I100" s="33">
        <v>0</v>
      </c>
      <c r="J100" s="33" t="str">
        <f t="shared" si="1"/>
        <v/>
      </c>
      <c r="K100" s="33" t="e">
        <f>発注書!$F$5</f>
        <v>#N/A</v>
      </c>
    </row>
    <row r="101" spans="1:11" x14ac:dyDescent="0.15">
      <c r="A101" s="33">
        <f t="shared" si="0"/>
        <v>100</v>
      </c>
      <c r="B101" s="33">
        <v>2</v>
      </c>
      <c r="C101" s="33" t="str">
        <f>発注書!$C$3</f>
        <v>bb02787</v>
      </c>
      <c r="D101" s="33" t="str">
        <f>発注書!$D$3</f>
        <v>イルミナジョブ＆カレッジ千葉中央校</v>
      </c>
      <c r="E101" s="34" t="str">
        <f>発注書!$I$1</f>
        <v xml:space="preserve">2025年12月9日	</v>
      </c>
      <c r="F101" s="33" t="str">
        <f>発注書!E21</f>
        <v/>
      </c>
      <c r="G101" s="33" t="str">
        <f>発注書!F21</f>
        <v/>
      </c>
      <c r="H101" s="33">
        <f>発注書!G21</f>
        <v>0</v>
      </c>
      <c r="I101" s="33">
        <v>0</v>
      </c>
      <c r="J101" s="33" t="str">
        <f t="shared" si="1"/>
        <v/>
      </c>
      <c r="K101" s="33" t="e">
        <f>発注書!$F$5</f>
        <v>#N/A</v>
      </c>
    </row>
    <row r="102" spans="1:11" x14ac:dyDescent="0.15">
      <c r="A102" s="33">
        <f t="shared" si="0"/>
        <v>101</v>
      </c>
      <c r="B102" s="33">
        <v>2</v>
      </c>
      <c r="C102" s="33" t="str">
        <f>発注書!$C$3</f>
        <v>bb02787</v>
      </c>
      <c r="D102" s="33" t="str">
        <f>発注書!$D$3</f>
        <v>イルミナジョブ＆カレッジ千葉中央校</v>
      </c>
      <c r="E102" s="34" t="str">
        <f>発注書!$I$1</f>
        <v xml:space="preserve">2025年12月9日	</v>
      </c>
      <c r="F102" s="33" t="str">
        <f>発注書!E22</f>
        <v/>
      </c>
      <c r="G102" s="33" t="str">
        <f>発注書!F22</f>
        <v/>
      </c>
      <c r="H102" s="33">
        <f>発注書!G22</f>
        <v>0</v>
      </c>
      <c r="I102" s="33">
        <v>0</v>
      </c>
      <c r="J102" s="33" t="str">
        <f t="shared" si="1"/>
        <v/>
      </c>
      <c r="K102" s="33" t="e">
        <f>発注書!$F$5</f>
        <v>#N/A</v>
      </c>
    </row>
    <row r="103" spans="1:11" x14ac:dyDescent="0.15">
      <c r="A103" s="33">
        <f t="shared" si="0"/>
        <v>102</v>
      </c>
      <c r="B103" s="33">
        <v>2</v>
      </c>
      <c r="C103" s="33" t="str">
        <f>発注書!$C$3</f>
        <v>bb02787</v>
      </c>
      <c r="D103" s="33" t="str">
        <f>発注書!$D$3</f>
        <v>イルミナジョブ＆カレッジ千葉中央校</v>
      </c>
      <c r="E103" s="34" t="str">
        <f>発注書!$I$1</f>
        <v xml:space="preserve">2025年12月9日	</v>
      </c>
      <c r="F103" s="33" t="str">
        <f>発注書!E23</f>
        <v/>
      </c>
      <c r="G103" s="33" t="str">
        <f>発注書!F23</f>
        <v/>
      </c>
      <c r="H103" s="33">
        <f>発注書!G23</f>
        <v>0</v>
      </c>
      <c r="I103" s="33">
        <v>0</v>
      </c>
      <c r="J103" s="33" t="str">
        <f t="shared" si="1"/>
        <v/>
      </c>
      <c r="K103" s="33" t="e">
        <f>発注書!$F$5</f>
        <v>#N/A</v>
      </c>
    </row>
    <row r="104" spans="1:11" x14ac:dyDescent="0.15">
      <c r="A104" s="33">
        <f t="shared" si="0"/>
        <v>103</v>
      </c>
      <c r="B104" s="33">
        <v>2</v>
      </c>
      <c r="C104" s="33" t="str">
        <f>発注書!$C$3</f>
        <v>bb02787</v>
      </c>
      <c r="D104" s="33" t="str">
        <f>発注書!$D$3</f>
        <v>イルミナジョブ＆カレッジ千葉中央校</v>
      </c>
      <c r="E104" s="34" t="str">
        <f>発注書!$I$1</f>
        <v xml:space="preserve">2025年12月9日	</v>
      </c>
      <c r="F104" s="33" t="str">
        <f>発注書!E24</f>
        <v/>
      </c>
      <c r="G104" s="33" t="str">
        <f>発注書!F24</f>
        <v/>
      </c>
      <c r="H104" s="33">
        <f>発注書!G24</f>
        <v>0</v>
      </c>
      <c r="I104" s="33">
        <v>0</v>
      </c>
      <c r="J104" s="33" t="str">
        <f t="shared" si="1"/>
        <v/>
      </c>
      <c r="K104" s="33" t="e">
        <f>発注書!$F$5</f>
        <v>#N/A</v>
      </c>
    </row>
    <row r="105" spans="1:11" x14ac:dyDescent="0.15">
      <c r="A105" s="33">
        <f t="shared" si="0"/>
        <v>104</v>
      </c>
      <c r="B105" s="33">
        <v>2</v>
      </c>
      <c r="C105" s="33" t="str">
        <f>発注書!$C$3</f>
        <v>bb02787</v>
      </c>
      <c r="D105" s="33" t="str">
        <f>発注書!$D$3</f>
        <v>イルミナジョブ＆カレッジ千葉中央校</v>
      </c>
      <c r="E105" s="34" t="str">
        <f>発注書!$I$1</f>
        <v xml:space="preserve">2025年12月9日	</v>
      </c>
      <c r="F105" s="33" t="str">
        <f>発注書!E25</f>
        <v/>
      </c>
      <c r="G105" s="33" t="str">
        <f>発注書!F25</f>
        <v/>
      </c>
      <c r="H105" s="33">
        <f>発注書!G25</f>
        <v>0</v>
      </c>
      <c r="I105" s="33">
        <v>0</v>
      </c>
      <c r="J105" s="33" t="str">
        <f t="shared" si="1"/>
        <v/>
      </c>
      <c r="K105" s="33" t="e">
        <f>発注書!$F$5</f>
        <v>#N/A</v>
      </c>
    </row>
    <row r="106" spans="1:11" x14ac:dyDescent="0.15">
      <c r="A106" s="33">
        <f t="shared" si="0"/>
        <v>105</v>
      </c>
      <c r="B106" s="33">
        <v>2</v>
      </c>
      <c r="C106" s="33" t="str">
        <f>発注書!$C$3</f>
        <v>bb02787</v>
      </c>
      <c r="D106" s="33" t="str">
        <f>発注書!$D$3</f>
        <v>イルミナジョブ＆カレッジ千葉中央校</v>
      </c>
      <c r="E106" s="34" t="str">
        <f>発注書!$I$1</f>
        <v xml:space="preserve">2025年12月9日	</v>
      </c>
      <c r="F106" s="33" t="str">
        <f>発注書!E26</f>
        <v/>
      </c>
      <c r="G106" s="33" t="str">
        <f>発注書!F26</f>
        <v/>
      </c>
      <c r="H106" s="33">
        <f>発注書!G26</f>
        <v>0</v>
      </c>
      <c r="I106" s="33">
        <v>0</v>
      </c>
      <c r="J106" s="33" t="str">
        <f t="shared" si="1"/>
        <v/>
      </c>
      <c r="K106" s="33" t="e">
        <f>発注書!$F$5</f>
        <v>#N/A</v>
      </c>
    </row>
    <row r="107" spans="1:11" x14ac:dyDescent="0.15">
      <c r="A107" s="33">
        <f t="shared" si="0"/>
        <v>106</v>
      </c>
      <c r="B107" s="33">
        <v>2</v>
      </c>
      <c r="C107" s="33" t="str">
        <f>発注書!$C$3</f>
        <v>bb02787</v>
      </c>
      <c r="D107" s="33" t="str">
        <f>発注書!$D$3</f>
        <v>イルミナジョブ＆カレッジ千葉中央校</v>
      </c>
      <c r="E107" s="34" t="str">
        <f>発注書!$I$1</f>
        <v xml:space="preserve">2025年12月9日	</v>
      </c>
      <c r="F107" s="33" t="str">
        <f>発注書!E27</f>
        <v/>
      </c>
      <c r="G107" s="33" t="str">
        <f>発注書!F27</f>
        <v/>
      </c>
      <c r="H107" s="33">
        <f>発注書!G27</f>
        <v>0</v>
      </c>
      <c r="I107" s="33">
        <v>0</v>
      </c>
      <c r="J107" s="33" t="str">
        <f t="shared" si="1"/>
        <v/>
      </c>
      <c r="K107" s="33" t="e">
        <f>発注書!$F$5</f>
        <v>#N/A</v>
      </c>
    </row>
    <row r="108" spans="1:11" x14ac:dyDescent="0.15">
      <c r="A108" s="33">
        <f t="shared" si="0"/>
        <v>107</v>
      </c>
      <c r="B108" s="33">
        <v>2</v>
      </c>
      <c r="C108" s="33" t="str">
        <f>発注書!$C$3</f>
        <v>bb02787</v>
      </c>
      <c r="D108" s="33" t="str">
        <f>発注書!$D$3</f>
        <v>イルミナジョブ＆カレッジ千葉中央校</v>
      </c>
      <c r="E108" s="34" t="str">
        <f>発注書!$I$1</f>
        <v xml:space="preserve">2025年12月9日	</v>
      </c>
      <c r="F108" s="33" t="str">
        <f>発注書!E28</f>
        <v/>
      </c>
      <c r="G108" s="33" t="str">
        <f>発注書!F28</f>
        <v/>
      </c>
      <c r="H108" s="33">
        <f>発注書!G28</f>
        <v>0</v>
      </c>
      <c r="I108" s="33">
        <v>0</v>
      </c>
      <c r="J108" s="33" t="str">
        <f t="shared" si="1"/>
        <v/>
      </c>
      <c r="K108" s="33" t="e">
        <f>発注書!$F$5</f>
        <v>#N/A</v>
      </c>
    </row>
    <row r="109" spans="1:11" x14ac:dyDescent="0.15">
      <c r="A109" s="33">
        <f t="shared" si="0"/>
        <v>108</v>
      </c>
      <c r="B109" s="33">
        <v>2</v>
      </c>
      <c r="C109" s="33" t="str">
        <f>発注書!$C$3</f>
        <v>bb02787</v>
      </c>
      <c r="D109" s="33" t="str">
        <f>発注書!$D$3</f>
        <v>イルミナジョブ＆カレッジ千葉中央校</v>
      </c>
      <c r="E109" s="34" t="str">
        <f>発注書!$I$1</f>
        <v xml:space="preserve">2025年12月9日	</v>
      </c>
      <c r="F109" s="33" t="str">
        <f>発注書!E29</f>
        <v/>
      </c>
      <c r="G109" s="33" t="str">
        <f>発注書!F29</f>
        <v/>
      </c>
      <c r="H109" s="33">
        <f>発注書!G29</f>
        <v>0</v>
      </c>
      <c r="I109" s="33">
        <v>0</v>
      </c>
      <c r="J109" s="33" t="str">
        <f t="shared" si="1"/>
        <v/>
      </c>
      <c r="K109" s="33" t="e">
        <f>発注書!$F$5</f>
        <v>#N/A</v>
      </c>
    </row>
    <row r="110" spans="1:11" x14ac:dyDescent="0.15">
      <c r="A110" s="33">
        <f t="shared" si="0"/>
        <v>109</v>
      </c>
      <c r="B110" s="33">
        <v>2</v>
      </c>
      <c r="C110" s="33" t="str">
        <f>発注書!$C$3</f>
        <v>bb02787</v>
      </c>
      <c r="D110" s="33" t="str">
        <f>発注書!$D$3</f>
        <v>イルミナジョブ＆カレッジ千葉中央校</v>
      </c>
      <c r="E110" s="34" t="str">
        <f>発注書!$I$1</f>
        <v xml:space="preserve">2025年12月9日	</v>
      </c>
      <c r="F110" s="33" t="str">
        <f>発注書!E30</f>
        <v/>
      </c>
      <c r="G110" s="33" t="str">
        <f>発注書!F30</f>
        <v/>
      </c>
      <c r="H110" s="33">
        <f>発注書!G30</f>
        <v>0</v>
      </c>
      <c r="I110" s="33">
        <v>0</v>
      </c>
      <c r="J110" s="33" t="str">
        <f t="shared" si="1"/>
        <v/>
      </c>
      <c r="K110" s="33" t="e">
        <f>発注書!$F$5</f>
        <v>#N/A</v>
      </c>
    </row>
    <row r="111" spans="1:11" x14ac:dyDescent="0.15">
      <c r="A111" s="33">
        <f t="shared" si="0"/>
        <v>110</v>
      </c>
      <c r="B111" s="33">
        <v>2</v>
      </c>
      <c r="C111" s="33" t="str">
        <f>発注書!$C$3</f>
        <v>bb02787</v>
      </c>
      <c r="D111" s="33" t="str">
        <f>発注書!$D$3</f>
        <v>イルミナジョブ＆カレッジ千葉中央校</v>
      </c>
      <c r="E111" s="34" t="str">
        <f>発注書!$I$1</f>
        <v xml:space="preserve">2025年12月9日	</v>
      </c>
      <c r="F111" s="33" t="str">
        <f>発注書!E31</f>
        <v/>
      </c>
      <c r="G111" s="33" t="str">
        <f>発注書!F31</f>
        <v/>
      </c>
      <c r="H111" s="33">
        <f>発注書!G31</f>
        <v>0</v>
      </c>
      <c r="I111" s="33">
        <v>0</v>
      </c>
      <c r="J111" s="33" t="str">
        <f t="shared" si="1"/>
        <v/>
      </c>
      <c r="K111" s="33" t="e">
        <f>発注書!$F$5</f>
        <v>#N/A</v>
      </c>
    </row>
    <row r="112" spans="1:11" x14ac:dyDescent="0.15">
      <c r="A112" s="33">
        <f t="shared" si="0"/>
        <v>111</v>
      </c>
      <c r="B112" s="33">
        <v>2</v>
      </c>
      <c r="C112" s="33" t="str">
        <f>発注書!$C$3</f>
        <v>bb02787</v>
      </c>
      <c r="D112" s="33" t="str">
        <f>発注書!$D$3</f>
        <v>イルミナジョブ＆カレッジ千葉中央校</v>
      </c>
      <c r="E112" s="34" t="str">
        <f>発注書!$I$1</f>
        <v xml:space="preserve">2025年12月9日	</v>
      </c>
      <c r="F112" s="33" t="str">
        <f>発注書!E32</f>
        <v/>
      </c>
      <c r="G112" s="33" t="str">
        <f>発注書!F32</f>
        <v/>
      </c>
      <c r="H112" s="33">
        <f>発注書!G32</f>
        <v>0</v>
      </c>
      <c r="I112" s="33">
        <v>0</v>
      </c>
      <c r="J112" s="33" t="str">
        <f t="shared" si="1"/>
        <v/>
      </c>
      <c r="K112" s="33" t="e">
        <f>発注書!$F$5</f>
        <v>#N/A</v>
      </c>
    </row>
    <row r="113" spans="1:11" x14ac:dyDescent="0.15">
      <c r="A113" s="33">
        <f t="shared" si="0"/>
        <v>112</v>
      </c>
      <c r="B113" s="33">
        <v>2</v>
      </c>
      <c r="C113" s="33" t="str">
        <f>発注書!$C$3</f>
        <v>bb02787</v>
      </c>
      <c r="D113" s="33" t="str">
        <f>発注書!$D$3</f>
        <v>イルミナジョブ＆カレッジ千葉中央校</v>
      </c>
      <c r="E113" s="34" t="str">
        <f>発注書!$I$1</f>
        <v xml:space="preserve">2025年12月9日	</v>
      </c>
      <c r="F113" s="33" t="str">
        <f>発注書!E33</f>
        <v/>
      </c>
      <c r="G113" s="33" t="str">
        <f>発注書!F33</f>
        <v/>
      </c>
      <c r="H113" s="33">
        <f>発注書!G33</f>
        <v>0</v>
      </c>
      <c r="I113" s="33">
        <v>0</v>
      </c>
      <c r="J113" s="33" t="str">
        <f t="shared" ref="J113:J166" si="3">LEFT(F113,2)</f>
        <v/>
      </c>
      <c r="K113" s="33" t="e">
        <f>発注書!$F$5</f>
        <v>#N/A</v>
      </c>
    </row>
    <row r="114" spans="1:11" x14ac:dyDescent="0.15">
      <c r="A114" s="33">
        <f t="shared" si="0"/>
        <v>113</v>
      </c>
      <c r="B114" s="33">
        <v>2</v>
      </c>
      <c r="C114" s="33" t="str">
        <f>発注書!$C$3</f>
        <v>bb02787</v>
      </c>
      <c r="D114" s="33" t="str">
        <f>発注書!$D$3</f>
        <v>イルミナジョブ＆カレッジ千葉中央校</v>
      </c>
      <c r="E114" s="34" t="str">
        <f>発注書!$I$1</f>
        <v xml:space="preserve">2025年12月9日	</v>
      </c>
      <c r="F114" s="33" t="str">
        <f>発注書!E34</f>
        <v/>
      </c>
      <c r="G114" s="33" t="str">
        <f>発注書!F34</f>
        <v/>
      </c>
      <c r="H114" s="33">
        <f>発注書!G34</f>
        <v>0</v>
      </c>
      <c r="I114" s="33">
        <v>0</v>
      </c>
      <c r="J114" s="33" t="str">
        <f t="shared" si="3"/>
        <v/>
      </c>
      <c r="K114" s="33" t="e">
        <f>発注書!$F$5</f>
        <v>#N/A</v>
      </c>
    </row>
    <row r="115" spans="1:11" x14ac:dyDescent="0.15">
      <c r="A115" s="33">
        <f t="shared" si="0"/>
        <v>114</v>
      </c>
      <c r="B115" s="33">
        <v>2</v>
      </c>
      <c r="C115" s="33" t="str">
        <f>発注書!$C$3</f>
        <v>bb02787</v>
      </c>
      <c r="D115" s="33" t="str">
        <f>発注書!$D$3</f>
        <v>イルミナジョブ＆カレッジ千葉中央校</v>
      </c>
      <c r="E115" s="34" t="str">
        <f>発注書!$I$1</f>
        <v xml:space="preserve">2025年12月9日	</v>
      </c>
      <c r="F115" s="33" t="str">
        <f>発注書!E35</f>
        <v/>
      </c>
      <c r="G115" s="33" t="str">
        <f>発注書!F35</f>
        <v/>
      </c>
      <c r="H115" s="33">
        <f>発注書!G35</f>
        <v>0</v>
      </c>
      <c r="I115" s="33">
        <v>0</v>
      </c>
      <c r="J115" s="33" t="str">
        <f t="shared" si="3"/>
        <v/>
      </c>
      <c r="K115" s="33" t="e">
        <f>発注書!$F$5</f>
        <v>#N/A</v>
      </c>
    </row>
    <row r="116" spans="1:11" x14ac:dyDescent="0.15">
      <c r="A116" s="33">
        <f t="shared" si="0"/>
        <v>115</v>
      </c>
      <c r="B116" s="33">
        <v>2</v>
      </c>
      <c r="C116" s="33" t="str">
        <f>発注書!$C$3</f>
        <v>bb02787</v>
      </c>
      <c r="D116" s="33" t="str">
        <f>発注書!$D$3</f>
        <v>イルミナジョブ＆カレッジ千葉中央校</v>
      </c>
      <c r="E116" s="34" t="str">
        <f>発注書!$I$1</f>
        <v xml:space="preserve">2025年12月9日	</v>
      </c>
      <c r="F116" s="33" t="str">
        <f>発注書!E36</f>
        <v/>
      </c>
      <c r="G116" s="33" t="str">
        <f>発注書!F36</f>
        <v/>
      </c>
      <c r="H116" s="33">
        <f>発注書!G36</f>
        <v>0</v>
      </c>
      <c r="I116" s="33">
        <v>0</v>
      </c>
      <c r="J116" s="33" t="str">
        <f t="shared" si="3"/>
        <v/>
      </c>
      <c r="K116" s="33" t="e">
        <f>発注書!$F$5</f>
        <v>#N/A</v>
      </c>
    </row>
    <row r="117" spans="1:11" x14ac:dyDescent="0.15">
      <c r="A117" s="33">
        <f t="shared" si="0"/>
        <v>116</v>
      </c>
      <c r="B117" s="33">
        <v>2</v>
      </c>
      <c r="C117" s="33" t="str">
        <f>発注書!$C$3</f>
        <v>bb02787</v>
      </c>
      <c r="D117" s="33" t="str">
        <f>発注書!$D$3</f>
        <v>イルミナジョブ＆カレッジ千葉中央校</v>
      </c>
      <c r="E117" s="34" t="str">
        <f>発注書!$I$1</f>
        <v xml:space="preserve">2025年12月9日	</v>
      </c>
      <c r="F117" s="33" t="str">
        <f>発注書!E37</f>
        <v/>
      </c>
      <c r="G117" s="33" t="str">
        <f>発注書!F37</f>
        <v/>
      </c>
      <c r="H117" s="33">
        <f>発注書!G37</f>
        <v>0</v>
      </c>
      <c r="I117" s="33">
        <v>0</v>
      </c>
      <c r="J117" s="33" t="str">
        <f t="shared" si="3"/>
        <v/>
      </c>
      <c r="K117" s="33" t="e">
        <f>発注書!$F$5</f>
        <v>#N/A</v>
      </c>
    </row>
    <row r="118" spans="1:11" x14ac:dyDescent="0.15">
      <c r="A118" s="33">
        <f t="shared" si="0"/>
        <v>117</v>
      </c>
      <c r="B118" s="33">
        <v>2</v>
      </c>
      <c r="C118" s="33" t="str">
        <f>発注書!$C$3</f>
        <v>bb02787</v>
      </c>
      <c r="D118" s="33" t="str">
        <f>発注書!$D$3</f>
        <v>イルミナジョブ＆カレッジ千葉中央校</v>
      </c>
      <c r="E118" s="34" t="str">
        <f>発注書!$I$1</f>
        <v xml:space="preserve">2025年12月9日	</v>
      </c>
      <c r="F118" s="33" t="str">
        <f>発注書!E38</f>
        <v/>
      </c>
      <c r="G118" s="33" t="str">
        <f>発注書!F38</f>
        <v/>
      </c>
      <c r="H118" s="33">
        <f>発注書!G38</f>
        <v>0</v>
      </c>
      <c r="I118" s="33">
        <v>0</v>
      </c>
      <c r="J118" s="33" t="str">
        <f t="shared" si="3"/>
        <v/>
      </c>
      <c r="K118" s="33" t="e">
        <f>発注書!$F$5</f>
        <v>#N/A</v>
      </c>
    </row>
    <row r="119" spans="1:11" x14ac:dyDescent="0.15">
      <c r="A119" s="33">
        <f t="shared" si="0"/>
        <v>118</v>
      </c>
      <c r="B119" s="33">
        <v>2</v>
      </c>
      <c r="C119" s="33" t="str">
        <f>発注書!$C$3</f>
        <v>bb02787</v>
      </c>
      <c r="D119" s="33" t="str">
        <f>発注書!$D$3</f>
        <v>イルミナジョブ＆カレッジ千葉中央校</v>
      </c>
      <c r="E119" s="34" t="str">
        <f>発注書!$I$1</f>
        <v xml:space="preserve">2025年12月9日	</v>
      </c>
      <c r="F119" s="33" t="str">
        <f>発注書!E39</f>
        <v/>
      </c>
      <c r="G119" s="33" t="str">
        <f>発注書!F39</f>
        <v/>
      </c>
      <c r="H119" s="33">
        <f>発注書!G39</f>
        <v>0</v>
      </c>
      <c r="I119" s="33">
        <v>0</v>
      </c>
      <c r="J119" s="33" t="str">
        <f t="shared" si="3"/>
        <v/>
      </c>
      <c r="K119" s="33" t="e">
        <f>発注書!$F$5</f>
        <v>#N/A</v>
      </c>
    </row>
    <row r="120" spans="1:11" x14ac:dyDescent="0.15">
      <c r="A120" s="33">
        <f t="shared" si="0"/>
        <v>119</v>
      </c>
      <c r="B120" s="33">
        <v>2</v>
      </c>
      <c r="C120" s="33" t="str">
        <f>発注書!$C$3</f>
        <v>bb02787</v>
      </c>
      <c r="D120" s="33" t="str">
        <f>発注書!$D$3</f>
        <v>イルミナジョブ＆カレッジ千葉中央校</v>
      </c>
      <c r="E120" s="34" t="str">
        <f>発注書!$I$1</f>
        <v xml:space="preserve">2025年12月9日	</v>
      </c>
      <c r="F120" s="33" t="str">
        <f>発注書!E40</f>
        <v/>
      </c>
      <c r="G120" s="33" t="str">
        <f>発注書!F40</f>
        <v/>
      </c>
      <c r="H120" s="33">
        <f>発注書!G40</f>
        <v>0</v>
      </c>
      <c r="I120" s="33">
        <v>0</v>
      </c>
      <c r="J120" s="33" t="str">
        <f t="shared" si="3"/>
        <v/>
      </c>
      <c r="K120" s="33" t="e">
        <f>発注書!$F$5</f>
        <v>#N/A</v>
      </c>
    </row>
    <row r="121" spans="1:11" x14ac:dyDescent="0.15">
      <c r="A121" s="33">
        <f t="shared" si="0"/>
        <v>120</v>
      </c>
      <c r="B121" s="33">
        <v>2</v>
      </c>
      <c r="C121" s="33" t="str">
        <f>発注書!$C$3</f>
        <v>bb02787</v>
      </c>
      <c r="D121" s="33" t="str">
        <f>発注書!$D$3</f>
        <v>イルミナジョブ＆カレッジ千葉中央校</v>
      </c>
      <c r="E121" s="34" t="str">
        <f>発注書!$I$1</f>
        <v xml:space="preserve">2025年12月9日	</v>
      </c>
      <c r="F121" s="33" t="str">
        <f>発注書!E41</f>
        <v/>
      </c>
      <c r="G121" s="33" t="str">
        <f>発注書!F41</f>
        <v/>
      </c>
      <c r="H121" s="33">
        <f>発注書!G41</f>
        <v>0</v>
      </c>
      <c r="I121" s="33">
        <v>0</v>
      </c>
      <c r="J121" s="33" t="str">
        <f t="shared" si="3"/>
        <v/>
      </c>
      <c r="K121" s="33" t="e">
        <f>発注書!$F$5</f>
        <v>#N/A</v>
      </c>
    </row>
    <row r="122" spans="1:11" x14ac:dyDescent="0.15">
      <c r="A122" s="33">
        <f t="shared" si="0"/>
        <v>121</v>
      </c>
      <c r="B122" s="33">
        <v>2</v>
      </c>
      <c r="C122" s="33" t="str">
        <f>発注書!$C$3</f>
        <v>bb02787</v>
      </c>
      <c r="D122" s="33" t="str">
        <f>発注書!$D$3</f>
        <v>イルミナジョブ＆カレッジ千葉中央校</v>
      </c>
      <c r="E122" s="34" t="str">
        <f>発注書!$I$1</f>
        <v xml:space="preserve">2025年12月9日	</v>
      </c>
      <c r="F122" s="33" t="str">
        <f>発注書!E42</f>
        <v/>
      </c>
      <c r="G122" s="33" t="str">
        <f>発注書!F42</f>
        <v/>
      </c>
      <c r="H122" s="33">
        <f>発注書!G42</f>
        <v>0</v>
      </c>
      <c r="I122" s="33">
        <v>0</v>
      </c>
      <c r="J122" s="33" t="str">
        <f t="shared" si="3"/>
        <v/>
      </c>
      <c r="K122" s="33" t="e">
        <f>発注書!$F$5</f>
        <v>#N/A</v>
      </c>
    </row>
    <row r="123" spans="1:11" x14ac:dyDescent="0.15">
      <c r="A123" s="33">
        <f t="shared" si="0"/>
        <v>122</v>
      </c>
      <c r="B123" s="33">
        <v>2</v>
      </c>
      <c r="C123" s="33" t="str">
        <f>発注書!$C$3</f>
        <v>bb02787</v>
      </c>
      <c r="D123" s="33" t="str">
        <f>発注書!$D$3</f>
        <v>イルミナジョブ＆カレッジ千葉中央校</v>
      </c>
      <c r="E123" s="34" t="str">
        <f>発注書!$I$1</f>
        <v xml:space="preserve">2025年12月9日	</v>
      </c>
      <c r="F123" s="33" t="str">
        <f>発注書!E43</f>
        <v/>
      </c>
      <c r="G123" s="33" t="str">
        <f>発注書!F43</f>
        <v/>
      </c>
      <c r="H123" s="33">
        <f>発注書!G43</f>
        <v>0</v>
      </c>
      <c r="I123" s="33">
        <v>0</v>
      </c>
      <c r="J123" s="33" t="str">
        <f t="shared" si="3"/>
        <v/>
      </c>
      <c r="K123" s="33" t="e">
        <f>発注書!$F$5</f>
        <v>#N/A</v>
      </c>
    </row>
    <row r="124" spans="1:11" x14ac:dyDescent="0.15">
      <c r="A124" s="33">
        <f t="shared" si="0"/>
        <v>123</v>
      </c>
      <c r="B124" s="33">
        <v>2</v>
      </c>
      <c r="C124" s="33" t="str">
        <f>発注書!$C$3</f>
        <v>bb02787</v>
      </c>
      <c r="D124" s="33" t="str">
        <f>発注書!$D$3</f>
        <v>イルミナジョブ＆カレッジ千葉中央校</v>
      </c>
      <c r="E124" s="34" t="str">
        <f>発注書!$I$1</f>
        <v xml:space="preserve">2025年12月9日	</v>
      </c>
      <c r="F124" s="33" t="str">
        <f>発注書!E44</f>
        <v/>
      </c>
      <c r="G124" s="33" t="str">
        <f>発注書!F44</f>
        <v/>
      </c>
      <c r="H124" s="33">
        <f>発注書!G44</f>
        <v>0</v>
      </c>
      <c r="I124" s="33">
        <v>0</v>
      </c>
      <c r="J124" s="33" t="str">
        <f t="shared" si="3"/>
        <v/>
      </c>
      <c r="K124" s="33" t="e">
        <f>発注書!$F$5</f>
        <v>#N/A</v>
      </c>
    </row>
    <row r="125" spans="1:11" x14ac:dyDescent="0.15">
      <c r="A125" s="33">
        <f t="shared" si="0"/>
        <v>124</v>
      </c>
      <c r="B125" s="33">
        <v>2</v>
      </c>
      <c r="C125" s="33" t="str">
        <f>発注書!$C$3</f>
        <v>bb02787</v>
      </c>
      <c r="D125" s="33" t="str">
        <f>発注書!$D$3</f>
        <v>イルミナジョブ＆カレッジ千葉中央校</v>
      </c>
      <c r="E125" s="34" t="str">
        <f>発注書!$I$1</f>
        <v xml:space="preserve">2025年12月9日	</v>
      </c>
      <c r="F125" s="33" t="str">
        <f>発注書!E45</f>
        <v/>
      </c>
      <c r="G125" s="33" t="str">
        <f>発注書!F45</f>
        <v/>
      </c>
      <c r="H125" s="33">
        <f>発注書!G45</f>
        <v>0</v>
      </c>
      <c r="I125" s="33">
        <v>0</v>
      </c>
      <c r="J125" s="33" t="str">
        <f t="shared" si="3"/>
        <v/>
      </c>
      <c r="K125" s="33" t="e">
        <f>発注書!$F$5</f>
        <v>#N/A</v>
      </c>
    </row>
    <row r="126" spans="1:11" x14ac:dyDescent="0.15">
      <c r="A126" s="33">
        <f t="shared" si="0"/>
        <v>125</v>
      </c>
      <c r="B126" s="33">
        <v>2</v>
      </c>
      <c r="C126" s="33" t="str">
        <f>発注書!$C$3</f>
        <v>bb02787</v>
      </c>
      <c r="D126" s="33" t="str">
        <f>発注書!$D$3</f>
        <v>イルミナジョブ＆カレッジ千葉中央校</v>
      </c>
      <c r="E126" s="34" t="str">
        <f>発注書!$I$1</f>
        <v xml:space="preserve">2025年12月9日	</v>
      </c>
      <c r="F126" s="33" t="str">
        <f>発注書!E46</f>
        <v/>
      </c>
      <c r="G126" s="33" t="str">
        <f>発注書!F46</f>
        <v/>
      </c>
      <c r="H126" s="33">
        <f>発注書!G46</f>
        <v>0</v>
      </c>
      <c r="I126" s="33">
        <v>0</v>
      </c>
      <c r="J126" s="33" t="str">
        <f t="shared" si="3"/>
        <v/>
      </c>
      <c r="K126" s="33" t="e">
        <f>発注書!$F$5</f>
        <v>#N/A</v>
      </c>
    </row>
    <row r="127" spans="1:11" x14ac:dyDescent="0.15">
      <c r="A127" s="33">
        <f t="shared" si="0"/>
        <v>126</v>
      </c>
      <c r="B127" s="33">
        <v>2</v>
      </c>
      <c r="C127" s="33" t="str">
        <f>発注書!$C$3</f>
        <v>bb02787</v>
      </c>
      <c r="D127" s="33" t="str">
        <f>発注書!$D$3</f>
        <v>イルミナジョブ＆カレッジ千葉中央校</v>
      </c>
      <c r="E127" s="34" t="str">
        <f>発注書!$I$1</f>
        <v xml:space="preserve">2025年12月9日	</v>
      </c>
      <c r="F127" s="33" t="str">
        <f>発注書!E47</f>
        <v/>
      </c>
      <c r="G127" s="33" t="str">
        <f>発注書!F47</f>
        <v/>
      </c>
      <c r="H127" s="33">
        <f>発注書!G47</f>
        <v>0</v>
      </c>
      <c r="I127" s="33">
        <v>0</v>
      </c>
      <c r="J127" s="33" t="str">
        <f t="shared" si="3"/>
        <v/>
      </c>
      <c r="K127" s="33" t="e">
        <f>発注書!$F$5</f>
        <v>#N/A</v>
      </c>
    </row>
    <row r="128" spans="1:11" x14ac:dyDescent="0.15">
      <c r="A128" s="33">
        <f t="shared" si="0"/>
        <v>127</v>
      </c>
      <c r="B128" s="33">
        <v>2</v>
      </c>
      <c r="C128" s="33" t="str">
        <f>発注書!$C$3</f>
        <v>bb02787</v>
      </c>
      <c r="D128" s="33" t="str">
        <f>発注書!$D$3</f>
        <v>イルミナジョブ＆カレッジ千葉中央校</v>
      </c>
      <c r="E128" s="34" t="str">
        <f>発注書!$I$1</f>
        <v xml:space="preserve">2025年12月9日	</v>
      </c>
      <c r="F128" s="33" t="str">
        <f>発注書!E48</f>
        <v/>
      </c>
      <c r="G128" s="33" t="str">
        <f>発注書!F48</f>
        <v/>
      </c>
      <c r="H128" s="33">
        <f>発注書!G48</f>
        <v>0</v>
      </c>
      <c r="I128" s="33">
        <v>0</v>
      </c>
      <c r="J128" s="33" t="str">
        <f t="shared" si="3"/>
        <v/>
      </c>
      <c r="K128" s="33" t="e">
        <f>発注書!$F$5</f>
        <v>#N/A</v>
      </c>
    </row>
    <row r="129" spans="1:11" x14ac:dyDescent="0.15">
      <c r="A129" s="33">
        <f t="shared" si="0"/>
        <v>128</v>
      </c>
      <c r="B129" s="33">
        <v>2</v>
      </c>
      <c r="C129" s="33" t="str">
        <f>発注書!$C$3</f>
        <v>bb02787</v>
      </c>
      <c r="D129" s="33" t="str">
        <f>発注書!$D$3</f>
        <v>イルミナジョブ＆カレッジ千葉中央校</v>
      </c>
      <c r="E129" s="34" t="str">
        <f>発注書!$I$1</f>
        <v xml:space="preserve">2025年12月9日	</v>
      </c>
      <c r="F129" s="33" t="str">
        <f>発注書!E49</f>
        <v/>
      </c>
      <c r="G129" s="33" t="str">
        <f>発注書!F49</f>
        <v/>
      </c>
      <c r="H129" s="33">
        <f>発注書!G49</f>
        <v>0</v>
      </c>
      <c r="I129" s="33">
        <v>0</v>
      </c>
      <c r="J129" s="33" t="str">
        <f t="shared" si="3"/>
        <v/>
      </c>
      <c r="K129" s="33" t="e">
        <f>発注書!$F$5</f>
        <v>#N/A</v>
      </c>
    </row>
    <row r="130" spans="1:11" x14ac:dyDescent="0.15">
      <c r="A130" s="33">
        <f t="shared" si="0"/>
        <v>129</v>
      </c>
      <c r="B130" s="33">
        <v>2</v>
      </c>
      <c r="C130" s="33" t="str">
        <f>発注書!$C$3</f>
        <v>bb02787</v>
      </c>
      <c r="D130" s="33" t="str">
        <f>発注書!$D$3</f>
        <v>イルミナジョブ＆カレッジ千葉中央校</v>
      </c>
      <c r="E130" s="34" t="str">
        <f>発注書!$I$1</f>
        <v xml:space="preserve">2025年12月9日	</v>
      </c>
      <c r="F130" s="33" t="str">
        <f>発注書!E50</f>
        <v/>
      </c>
      <c r="G130" s="33" t="str">
        <f>発注書!F50</f>
        <v/>
      </c>
      <c r="H130" s="33">
        <f>発注書!G50</f>
        <v>0</v>
      </c>
      <c r="I130" s="33">
        <v>0</v>
      </c>
      <c r="J130" s="33" t="str">
        <f t="shared" si="3"/>
        <v/>
      </c>
      <c r="K130" s="33" t="e">
        <f>発注書!$F$5</f>
        <v>#N/A</v>
      </c>
    </row>
    <row r="131" spans="1:11" x14ac:dyDescent="0.15">
      <c r="A131" s="33">
        <f t="shared" si="0"/>
        <v>130</v>
      </c>
      <c r="B131" s="33">
        <v>2</v>
      </c>
      <c r="C131" s="33" t="str">
        <f>発注書!$C$3</f>
        <v>bb02787</v>
      </c>
      <c r="D131" s="33" t="str">
        <f>発注書!$D$3</f>
        <v>イルミナジョブ＆カレッジ千葉中央校</v>
      </c>
      <c r="E131" s="34" t="str">
        <f>発注書!$I$1</f>
        <v xml:space="preserve">2025年12月9日	</v>
      </c>
      <c r="F131" s="33" t="str">
        <f>発注書!E51</f>
        <v/>
      </c>
      <c r="G131" s="33" t="str">
        <f>発注書!F51</f>
        <v/>
      </c>
      <c r="H131" s="33">
        <f>発注書!G51</f>
        <v>0</v>
      </c>
      <c r="I131" s="33">
        <v>0</v>
      </c>
      <c r="J131" s="33" t="str">
        <f t="shared" si="3"/>
        <v/>
      </c>
      <c r="K131" s="33" t="e">
        <f>発注書!$F$5</f>
        <v>#N/A</v>
      </c>
    </row>
    <row r="132" spans="1:11" x14ac:dyDescent="0.15">
      <c r="A132" s="33">
        <f t="shared" si="0"/>
        <v>131</v>
      </c>
      <c r="B132" s="33">
        <v>2</v>
      </c>
      <c r="C132" s="33" t="str">
        <f>発注書!$C$3</f>
        <v>bb02787</v>
      </c>
      <c r="D132" s="33" t="str">
        <f>発注書!$D$3</f>
        <v>イルミナジョブ＆カレッジ千葉中央校</v>
      </c>
      <c r="E132" s="34" t="str">
        <f>発注書!$I$1</f>
        <v xml:space="preserve">2025年12月9日	</v>
      </c>
      <c r="F132" s="33" t="str">
        <f>発注書!E52</f>
        <v/>
      </c>
      <c r="G132" s="33" t="str">
        <f>発注書!F52</f>
        <v/>
      </c>
      <c r="H132" s="33">
        <f>発注書!G52</f>
        <v>0</v>
      </c>
      <c r="I132" s="33">
        <v>0</v>
      </c>
      <c r="J132" s="33" t="str">
        <f t="shared" si="3"/>
        <v/>
      </c>
      <c r="K132" s="33" t="e">
        <f>発注書!$F$5</f>
        <v>#N/A</v>
      </c>
    </row>
    <row r="133" spans="1:11" x14ac:dyDescent="0.15">
      <c r="A133" s="33">
        <f t="shared" si="0"/>
        <v>132</v>
      </c>
      <c r="B133" s="33">
        <v>2</v>
      </c>
      <c r="C133" s="33" t="str">
        <f>発注書!$C$3</f>
        <v>bb02787</v>
      </c>
      <c r="D133" s="33" t="str">
        <f>発注書!$D$3</f>
        <v>イルミナジョブ＆カレッジ千葉中央校</v>
      </c>
      <c r="E133" s="34" t="str">
        <f>発注書!$I$1</f>
        <v xml:space="preserve">2025年12月9日	</v>
      </c>
      <c r="F133" s="33" t="str">
        <f>発注書!E53</f>
        <v/>
      </c>
      <c r="G133" s="33" t="str">
        <f>発注書!F53</f>
        <v/>
      </c>
      <c r="H133" s="33">
        <f>発注書!G53</f>
        <v>0</v>
      </c>
      <c r="I133" s="33">
        <v>0</v>
      </c>
      <c r="J133" s="33" t="str">
        <f t="shared" si="3"/>
        <v/>
      </c>
      <c r="K133" s="33" t="e">
        <f>発注書!$F$5</f>
        <v>#N/A</v>
      </c>
    </row>
    <row r="134" spans="1:11" x14ac:dyDescent="0.15">
      <c r="A134" s="33">
        <f t="shared" si="0"/>
        <v>133</v>
      </c>
      <c r="B134" s="33">
        <v>2</v>
      </c>
      <c r="C134" s="33" t="str">
        <f>発注書!$C$3</f>
        <v>bb02787</v>
      </c>
      <c r="D134" s="33" t="str">
        <f>発注書!$D$3</f>
        <v>イルミナジョブ＆カレッジ千葉中央校</v>
      </c>
      <c r="E134" s="34" t="str">
        <f>発注書!$I$1</f>
        <v xml:space="preserve">2025年12月9日	</v>
      </c>
      <c r="F134" s="33" t="str">
        <f>発注書!E54</f>
        <v/>
      </c>
      <c r="G134" s="33" t="str">
        <f>発注書!F54</f>
        <v/>
      </c>
      <c r="H134" s="33">
        <f>発注書!G54</f>
        <v>0</v>
      </c>
      <c r="I134" s="33">
        <v>0</v>
      </c>
      <c r="J134" s="33" t="str">
        <f t="shared" si="3"/>
        <v/>
      </c>
      <c r="K134" s="33" t="e">
        <f>発注書!$F$5</f>
        <v>#N/A</v>
      </c>
    </row>
    <row r="135" spans="1:11" x14ac:dyDescent="0.15">
      <c r="A135" s="33">
        <f t="shared" si="0"/>
        <v>134</v>
      </c>
      <c r="B135" s="33">
        <v>2</v>
      </c>
      <c r="C135" s="33" t="str">
        <f>発注書!$C$3</f>
        <v>bb02787</v>
      </c>
      <c r="D135" s="33" t="str">
        <f>発注書!$D$3</f>
        <v>イルミナジョブ＆カレッジ千葉中央校</v>
      </c>
      <c r="E135" s="34" t="str">
        <f>発注書!$I$1</f>
        <v xml:space="preserve">2025年12月9日	</v>
      </c>
      <c r="F135" s="33" t="str">
        <f>発注書!E55</f>
        <v/>
      </c>
      <c r="G135" s="33" t="str">
        <f>発注書!F55</f>
        <v/>
      </c>
      <c r="H135" s="33">
        <f>発注書!G55</f>
        <v>0</v>
      </c>
      <c r="I135" s="33">
        <v>0</v>
      </c>
      <c r="J135" s="33" t="str">
        <f t="shared" si="3"/>
        <v/>
      </c>
      <c r="K135" s="33" t="e">
        <f>発注書!$F$5</f>
        <v>#N/A</v>
      </c>
    </row>
    <row r="136" spans="1:11" x14ac:dyDescent="0.15">
      <c r="A136" s="33">
        <f t="shared" si="0"/>
        <v>135</v>
      </c>
      <c r="B136" s="33">
        <v>2</v>
      </c>
      <c r="C136" s="33" t="str">
        <f>発注書!$C$3</f>
        <v>bb02787</v>
      </c>
      <c r="D136" s="33" t="str">
        <f>発注書!$D$3</f>
        <v>イルミナジョブ＆カレッジ千葉中央校</v>
      </c>
      <c r="E136" s="34" t="str">
        <f>発注書!$I$1</f>
        <v xml:space="preserve">2025年12月9日	</v>
      </c>
      <c r="F136" s="33" t="str">
        <f>発注書!E56</f>
        <v/>
      </c>
      <c r="G136" s="33" t="str">
        <f>発注書!F56</f>
        <v/>
      </c>
      <c r="H136" s="33">
        <f>発注書!G56</f>
        <v>0</v>
      </c>
      <c r="I136" s="33">
        <v>0</v>
      </c>
      <c r="J136" s="33" t="str">
        <f t="shared" si="3"/>
        <v/>
      </c>
      <c r="K136" s="33" t="e">
        <f>発注書!$F$5</f>
        <v>#N/A</v>
      </c>
    </row>
    <row r="137" spans="1:11" x14ac:dyDescent="0.15">
      <c r="A137" s="33">
        <f t="shared" si="0"/>
        <v>136</v>
      </c>
      <c r="B137" s="33">
        <v>2</v>
      </c>
      <c r="C137" s="33" t="str">
        <f>発注書!$C$3</f>
        <v>bb02787</v>
      </c>
      <c r="D137" s="33" t="str">
        <f>発注書!$D$3</f>
        <v>イルミナジョブ＆カレッジ千葉中央校</v>
      </c>
      <c r="E137" s="34" t="str">
        <f>発注書!$I$1</f>
        <v xml:space="preserve">2025年12月9日	</v>
      </c>
      <c r="F137" s="33" t="str">
        <f>発注書!E57</f>
        <v/>
      </c>
      <c r="G137" s="33" t="str">
        <f>発注書!F57</f>
        <v/>
      </c>
      <c r="H137" s="33">
        <f>発注書!G57</f>
        <v>0</v>
      </c>
      <c r="I137" s="33">
        <v>0</v>
      </c>
      <c r="J137" s="33" t="str">
        <f t="shared" si="3"/>
        <v/>
      </c>
      <c r="K137" s="33" t="e">
        <f>発注書!$F$5</f>
        <v>#N/A</v>
      </c>
    </row>
    <row r="138" spans="1:11" x14ac:dyDescent="0.15">
      <c r="A138" s="33">
        <f t="shared" si="0"/>
        <v>137</v>
      </c>
      <c r="B138" s="33">
        <v>2</v>
      </c>
      <c r="C138" s="33" t="str">
        <f>発注書!$C$3</f>
        <v>bb02787</v>
      </c>
      <c r="D138" s="33" t="str">
        <f>発注書!$D$3</f>
        <v>イルミナジョブ＆カレッジ千葉中央校</v>
      </c>
      <c r="E138" s="34" t="str">
        <f>発注書!$I$1</f>
        <v xml:space="preserve">2025年12月9日	</v>
      </c>
      <c r="F138" s="33" t="str">
        <f>発注書!E58</f>
        <v/>
      </c>
      <c r="G138" s="33" t="str">
        <f>発注書!F58</f>
        <v/>
      </c>
      <c r="H138" s="33">
        <f>発注書!G58</f>
        <v>0</v>
      </c>
      <c r="I138" s="33">
        <v>0</v>
      </c>
      <c r="J138" s="33" t="str">
        <f t="shared" si="3"/>
        <v/>
      </c>
      <c r="K138" s="33" t="e">
        <f>発注書!$F$5</f>
        <v>#N/A</v>
      </c>
    </row>
    <row r="139" spans="1:11" x14ac:dyDescent="0.15">
      <c r="A139" s="33">
        <f t="shared" si="0"/>
        <v>138</v>
      </c>
      <c r="B139" s="33">
        <v>2</v>
      </c>
      <c r="C139" s="33" t="str">
        <f>発注書!$C$3</f>
        <v>bb02787</v>
      </c>
      <c r="D139" s="33" t="str">
        <f>発注書!$D$3</f>
        <v>イルミナジョブ＆カレッジ千葉中央校</v>
      </c>
      <c r="E139" s="34" t="str">
        <f>発注書!$I$1</f>
        <v xml:space="preserve">2025年12月9日	</v>
      </c>
      <c r="F139" s="33" t="str">
        <f>発注書!E59</f>
        <v/>
      </c>
      <c r="G139" s="33" t="str">
        <f>発注書!F59</f>
        <v/>
      </c>
      <c r="H139" s="33">
        <f>発注書!G59</f>
        <v>0</v>
      </c>
      <c r="I139" s="33">
        <v>0</v>
      </c>
      <c r="J139" s="33" t="str">
        <f t="shared" si="3"/>
        <v/>
      </c>
      <c r="K139" s="33" t="e">
        <f>発注書!$F$5</f>
        <v>#N/A</v>
      </c>
    </row>
    <row r="140" spans="1:11" x14ac:dyDescent="0.15">
      <c r="A140" s="33">
        <f t="shared" si="0"/>
        <v>139</v>
      </c>
      <c r="B140" s="33">
        <v>2</v>
      </c>
      <c r="C140" s="33" t="str">
        <f>発注書!$C$3</f>
        <v>bb02787</v>
      </c>
      <c r="D140" s="33" t="str">
        <f>発注書!$D$3</f>
        <v>イルミナジョブ＆カレッジ千葉中央校</v>
      </c>
      <c r="E140" s="34" t="str">
        <f>発注書!$I$1</f>
        <v xml:space="preserve">2025年12月9日	</v>
      </c>
      <c r="F140" s="33" t="str">
        <f>発注書!E60</f>
        <v/>
      </c>
      <c r="G140" s="33" t="str">
        <f>発注書!F60</f>
        <v/>
      </c>
      <c r="H140" s="33">
        <f>発注書!G60</f>
        <v>0</v>
      </c>
      <c r="I140" s="33">
        <v>0</v>
      </c>
      <c r="J140" s="33" t="str">
        <f t="shared" si="3"/>
        <v/>
      </c>
      <c r="K140" s="33" t="e">
        <f>発注書!$F$5</f>
        <v>#N/A</v>
      </c>
    </row>
    <row r="141" spans="1:11" x14ac:dyDescent="0.15">
      <c r="A141" s="33">
        <f t="shared" si="0"/>
        <v>140</v>
      </c>
      <c r="B141" s="33">
        <v>2</v>
      </c>
      <c r="C141" s="33" t="str">
        <f>発注書!$C$3</f>
        <v>bb02787</v>
      </c>
      <c r="D141" s="33" t="str">
        <f>発注書!$D$3</f>
        <v>イルミナジョブ＆カレッジ千葉中央校</v>
      </c>
      <c r="E141" s="34" t="str">
        <f>発注書!$I$1</f>
        <v xml:space="preserve">2025年12月9日	</v>
      </c>
      <c r="F141" s="33" t="str">
        <f>発注書!E61</f>
        <v/>
      </c>
      <c r="G141" s="33" t="str">
        <f>発注書!F61</f>
        <v/>
      </c>
      <c r="H141" s="33">
        <f>発注書!G61</f>
        <v>0</v>
      </c>
      <c r="I141" s="33">
        <v>0</v>
      </c>
      <c r="J141" s="33" t="str">
        <f t="shared" si="3"/>
        <v/>
      </c>
      <c r="K141" s="33" t="e">
        <f>発注書!$F$5</f>
        <v>#N/A</v>
      </c>
    </row>
    <row r="142" spans="1:11" x14ac:dyDescent="0.15">
      <c r="A142" s="33">
        <f t="shared" si="0"/>
        <v>141</v>
      </c>
      <c r="B142" s="33">
        <v>2</v>
      </c>
      <c r="C142" s="33" t="str">
        <f>発注書!$C$3</f>
        <v>bb02787</v>
      </c>
      <c r="D142" s="33" t="str">
        <f>発注書!$D$3</f>
        <v>イルミナジョブ＆カレッジ千葉中央校</v>
      </c>
      <c r="E142" s="34" t="str">
        <f>発注書!$I$1</f>
        <v xml:space="preserve">2025年12月9日	</v>
      </c>
      <c r="F142" s="33" t="str">
        <f>発注書!E62</f>
        <v/>
      </c>
      <c r="G142" s="33" t="str">
        <f>発注書!F62</f>
        <v/>
      </c>
      <c r="H142" s="33">
        <f>発注書!G62</f>
        <v>0</v>
      </c>
      <c r="I142" s="33">
        <v>0</v>
      </c>
      <c r="J142" s="33" t="str">
        <f t="shared" si="3"/>
        <v/>
      </c>
      <c r="K142" s="33" t="e">
        <f>発注書!$F$5</f>
        <v>#N/A</v>
      </c>
    </row>
    <row r="143" spans="1:11" x14ac:dyDescent="0.15">
      <c r="A143" s="33">
        <f t="shared" si="0"/>
        <v>142</v>
      </c>
      <c r="B143" s="33">
        <v>2</v>
      </c>
      <c r="C143" s="33" t="str">
        <f>発注書!$C$3</f>
        <v>bb02787</v>
      </c>
      <c r="D143" s="33" t="str">
        <f>発注書!$D$3</f>
        <v>イルミナジョブ＆カレッジ千葉中央校</v>
      </c>
      <c r="E143" s="34" t="str">
        <f>発注書!$I$1</f>
        <v xml:space="preserve">2025年12月9日	</v>
      </c>
      <c r="F143" s="33" t="str">
        <f>発注書!E63</f>
        <v/>
      </c>
      <c r="G143" s="33" t="str">
        <f>発注書!F63</f>
        <v/>
      </c>
      <c r="H143" s="33">
        <f>発注書!G63</f>
        <v>0</v>
      </c>
      <c r="I143" s="33">
        <v>0</v>
      </c>
      <c r="J143" s="33" t="str">
        <f t="shared" si="3"/>
        <v/>
      </c>
      <c r="K143" s="33" t="e">
        <f>発注書!$F$5</f>
        <v>#N/A</v>
      </c>
    </row>
    <row r="144" spans="1:11" x14ac:dyDescent="0.15">
      <c r="A144" s="33">
        <f t="shared" si="0"/>
        <v>143</v>
      </c>
      <c r="B144" s="33">
        <v>2</v>
      </c>
      <c r="C144" s="33" t="str">
        <f>発注書!$C$3</f>
        <v>bb02787</v>
      </c>
      <c r="D144" s="33" t="str">
        <f>発注書!$D$3</f>
        <v>イルミナジョブ＆カレッジ千葉中央校</v>
      </c>
      <c r="E144" s="34" t="str">
        <f>発注書!$I$1</f>
        <v xml:space="preserve">2025年12月9日	</v>
      </c>
      <c r="F144" s="33" t="str">
        <f>発注書!E64</f>
        <v/>
      </c>
      <c r="G144" s="33" t="str">
        <f>発注書!F64</f>
        <v/>
      </c>
      <c r="H144" s="33">
        <f>発注書!G64</f>
        <v>0</v>
      </c>
      <c r="I144" s="33">
        <v>0</v>
      </c>
      <c r="J144" s="33" t="str">
        <f t="shared" si="3"/>
        <v/>
      </c>
      <c r="K144" s="33" t="e">
        <f>発注書!$F$5</f>
        <v>#N/A</v>
      </c>
    </row>
    <row r="145" spans="1:11" x14ac:dyDescent="0.15">
      <c r="A145" s="33">
        <f t="shared" si="0"/>
        <v>144</v>
      </c>
      <c r="B145" s="33">
        <v>2</v>
      </c>
      <c r="C145" s="33" t="str">
        <f>発注書!$C$3</f>
        <v>bb02787</v>
      </c>
      <c r="D145" s="33" t="str">
        <f>発注書!$D$3</f>
        <v>イルミナジョブ＆カレッジ千葉中央校</v>
      </c>
      <c r="E145" s="34" t="str">
        <f>発注書!$I$1</f>
        <v xml:space="preserve">2025年12月9日	</v>
      </c>
      <c r="F145" s="33" t="str">
        <f>発注書!E65</f>
        <v/>
      </c>
      <c r="G145" s="33" t="str">
        <f>発注書!F65</f>
        <v/>
      </c>
      <c r="H145" s="33">
        <f>発注書!G65</f>
        <v>0</v>
      </c>
      <c r="I145" s="33">
        <v>0</v>
      </c>
      <c r="J145" s="33" t="str">
        <f t="shared" si="3"/>
        <v/>
      </c>
      <c r="K145" s="33" t="e">
        <f>発注書!$F$5</f>
        <v>#N/A</v>
      </c>
    </row>
    <row r="146" spans="1:11" x14ac:dyDescent="0.15">
      <c r="A146" s="33">
        <f t="shared" si="0"/>
        <v>145</v>
      </c>
      <c r="B146" s="33">
        <v>2</v>
      </c>
      <c r="C146" s="33" t="str">
        <f>発注書!$C$3</f>
        <v>bb02787</v>
      </c>
      <c r="D146" s="33" t="str">
        <f>発注書!$D$3</f>
        <v>イルミナジョブ＆カレッジ千葉中央校</v>
      </c>
      <c r="E146" s="34" t="str">
        <f>発注書!$I$1</f>
        <v xml:space="preserve">2025年12月9日	</v>
      </c>
      <c r="F146" s="33" t="str">
        <f>発注書!E66</f>
        <v/>
      </c>
      <c r="G146" s="33" t="str">
        <f>発注書!F66</f>
        <v/>
      </c>
      <c r="H146" s="33">
        <f>発注書!G66</f>
        <v>0</v>
      </c>
      <c r="I146" s="33">
        <v>0</v>
      </c>
      <c r="J146" s="33" t="str">
        <f t="shared" si="3"/>
        <v/>
      </c>
      <c r="K146" s="33" t="e">
        <f>発注書!$F$5</f>
        <v>#N/A</v>
      </c>
    </row>
    <row r="147" spans="1:11" x14ac:dyDescent="0.15">
      <c r="A147" s="33">
        <f t="shared" si="0"/>
        <v>146</v>
      </c>
      <c r="B147" s="33">
        <v>2</v>
      </c>
      <c r="C147" s="33" t="str">
        <f>発注書!$C$3</f>
        <v>bb02787</v>
      </c>
      <c r="D147" s="33" t="str">
        <f>発注書!$D$3</f>
        <v>イルミナジョブ＆カレッジ千葉中央校</v>
      </c>
      <c r="E147" s="34" t="str">
        <f>発注書!$I$1</f>
        <v xml:space="preserve">2025年12月9日	</v>
      </c>
      <c r="F147" s="33" t="str">
        <f>発注書!E67</f>
        <v/>
      </c>
      <c r="G147" s="33" t="str">
        <f>発注書!F67</f>
        <v/>
      </c>
      <c r="H147" s="33">
        <f>発注書!G67</f>
        <v>0</v>
      </c>
      <c r="I147" s="33">
        <v>0</v>
      </c>
      <c r="J147" s="33" t="str">
        <f t="shared" si="3"/>
        <v/>
      </c>
      <c r="K147" s="33" t="e">
        <f>発注書!$F$5</f>
        <v>#N/A</v>
      </c>
    </row>
    <row r="148" spans="1:11" x14ac:dyDescent="0.15">
      <c r="A148" s="33">
        <f t="shared" si="0"/>
        <v>147</v>
      </c>
      <c r="B148" s="33">
        <v>2</v>
      </c>
      <c r="C148" s="33" t="str">
        <f>発注書!$C$3</f>
        <v>bb02787</v>
      </c>
      <c r="D148" s="33" t="str">
        <f>発注書!$D$3</f>
        <v>イルミナジョブ＆カレッジ千葉中央校</v>
      </c>
      <c r="E148" s="34" t="str">
        <f>発注書!$I$1</f>
        <v xml:space="preserve">2025年12月9日	</v>
      </c>
      <c r="F148" s="33" t="str">
        <f>発注書!E68</f>
        <v/>
      </c>
      <c r="G148" s="33" t="str">
        <f>発注書!F68</f>
        <v/>
      </c>
      <c r="H148" s="33">
        <f>発注書!G68</f>
        <v>0</v>
      </c>
      <c r="I148" s="33">
        <v>0</v>
      </c>
      <c r="J148" s="33" t="str">
        <f t="shared" si="3"/>
        <v/>
      </c>
      <c r="K148" s="33" t="e">
        <f>発注書!$F$5</f>
        <v>#N/A</v>
      </c>
    </row>
    <row r="149" spans="1:11" x14ac:dyDescent="0.15">
      <c r="A149" s="33">
        <f t="shared" si="0"/>
        <v>148</v>
      </c>
      <c r="B149" s="33">
        <v>2</v>
      </c>
      <c r="C149" s="33" t="str">
        <f>発注書!$C$3</f>
        <v>bb02787</v>
      </c>
      <c r="D149" s="33" t="str">
        <f>発注書!$D$3</f>
        <v>イルミナジョブ＆カレッジ千葉中央校</v>
      </c>
      <c r="E149" s="34" t="str">
        <f>発注書!$I$1</f>
        <v xml:space="preserve">2025年12月9日	</v>
      </c>
      <c r="F149" s="33" t="str">
        <f>発注書!E69</f>
        <v/>
      </c>
      <c r="G149" s="33" t="str">
        <f>発注書!F69</f>
        <v/>
      </c>
      <c r="H149" s="33">
        <f>発注書!G69</f>
        <v>0</v>
      </c>
      <c r="I149" s="33">
        <v>0</v>
      </c>
      <c r="J149" s="33" t="str">
        <f t="shared" si="3"/>
        <v/>
      </c>
      <c r="K149" s="33" t="e">
        <f>発注書!$F$5</f>
        <v>#N/A</v>
      </c>
    </row>
    <row r="150" spans="1:11" x14ac:dyDescent="0.15">
      <c r="A150" s="33">
        <f t="shared" si="0"/>
        <v>149</v>
      </c>
      <c r="B150" s="33">
        <v>2</v>
      </c>
      <c r="C150" s="33" t="str">
        <f>発注書!$C$3</f>
        <v>bb02787</v>
      </c>
      <c r="D150" s="33" t="str">
        <f>発注書!$D$3</f>
        <v>イルミナジョブ＆カレッジ千葉中央校</v>
      </c>
      <c r="E150" s="34" t="str">
        <f>発注書!$I$1</f>
        <v xml:space="preserve">2025年12月9日	</v>
      </c>
      <c r="F150" s="33" t="str">
        <f>発注書!E70</f>
        <v/>
      </c>
      <c r="G150" s="33" t="str">
        <f>発注書!F70</f>
        <v/>
      </c>
      <c r="H150" s="33">
        <f>発注書!G70</f>
        <v>0</v>
      </c>
      <c r="I150" s="33">
        <v>0</v>
      </c>
      <c r="J150" s="33" t="str">
        <f t="shared" si="3"/>
        <v/>
      </c>
      <c r="K150" s="33" t="e">
        <f>発注書!$F$5</f>
        <v>#N/A</v>
      </c>
    </row>
    <row r="151" spans="1:11" x14ac:dyDescent="0.15">
      <c r="A151" s="33">
        <f t="shared" si="0"/>
        <v>150</v>
      </c>
      <c r="B151" s="33">
        <v>2</v>
      </c>
      <c r="C151" s="33" t="str">
        <f>発注書!$C$3</f>
        <v>bb02787</v>
      </c>
      <c r="D151" s="33" t="str">
        <f>発注書!$D$3</f>
        <v>イルミナジョブ＆カレッジ千葉中央校</v>
      </c>
      <c r="E151" s="34" t="str">
        <f>発注書!$I$1</f>
        <v xml:space="preserve">2025年12月9日	</v>
      </c>
      <c r="F151" s="33" t="str">
        <f>発注書!E71</f>
        <v/>
      </c>
      <c r="G151" s="33" t="str">
        <f>発注書!F71</f>
        <v/>
      </c>
      <c r="H151" s="33">
        <f>発注書!G71</f>
        <v>0</v>
      </c>
      <c r="I151" s="33">
        <v>0</v>
      </c>
      <c r="J151" s="33" t="str">
        <f t="shared" si="3"/>
        <v/>
      </c>
      <c r="K151" s="33" t="e">
        <f>発注書!$F$5</f>
        <v>#N/A</v>
      </c>
    </row>
    <row r="152" spans="1:11" x14ac:dyDescent="0.15">
      <c r="A152" s="33">
        <f t="shared" si="0"/>
        <v>151</v>
      </c>
      <c r="B152" s="33">
        <v>2</v>
      </c>
      <c r="C152" s="33" t="str">
        <f>発注書!$C$3</f>
        <v>bb02787</v>
      </c>
      <c r="D152" s="33" t="str">
        <f>発注書!$D$3</f>
        <v>イルミナジョブ＆カレッジ千葉中央校</v>
      </c>
      <c r="E152" s="34" t="str">
        <f>発注書!$I$1</f>
        <v xml:space="preserve">2025年12月9日	</v>
      </c>
      <c r="F152" s="33" t="str">
        <f>発注書!E72</f>
        <v/>
      </c>
      <c r="G152" s="33" t="str">
        <f>発注書!F72</f>
        <v/>
      </c>
      <c r="H152" s="33">
        <f>発注書!G72</f>
        <v>0</v>
      </c>
      <c r="I152" s="33">
        <v>0</v>
      </c>
      <c r="J152" s="33" t="str">
        <f t="shared" si="3"/>
        <v/>
      </c>
      <c r="K152" s="33" t="e">
        <f>発注書!$F$5</f>
        <v>#N/A</v>
      </c>
    </row>
    <row r="153" spans="1:11" x14ac:dyDescent="0.15">
      <c r="A153" s="33">
        <f t="shared" si="0"/>
        <v>152</v>
      </c>
      <c r="B153" s="33">
        <v>2</v>
      </c>
      <c r="C153" s="33" t="str">
        <f>発注書!$C$3</f>
        <v>bb02787</v>
      </c>
      <c r="D153" s="33" t="str">
        <f>発注書!$D$3</f>
        <v>イルミナジョブ＆カレッジ千葉中央校</v>
      </c>
      <c r="E153" s="34" t="str">
        <f>発注書!$I$1</f>
        <v xml:space="preserve">2025年12月9日	</v>
      </c>
      <c r="F153" s="33" t="str">
        <f>発注書!E73</f>
        <v/>
      </c>
      <c r="G153" s="33" t="str">
        <f>発注書!F73</f>
        <v/>
      </c>
      <c r="H153" s="33">
        <f>発注書!G73</f>
        <v>0</v>
      </c>
      <c r="I153" s="33">
        <v>0</v>
      </c>
      <c r="J153" s="33" t="str">
        <f t="shared" si="3"/>
        <v/>
      </c>
      <c r="K153" s="33" t="e">
        <f>発注書!$F$5</f>
        <v>#N/A</v>
      </c>
    </row>
    <row r="154" spans="1:11" x14ac:dyDescent="0.15">
      <c r="A154" s="33">
        <f t="shared" si="0"/>
        <v>153</v>
      </c>
      <c r="B154" s="33">
        <v>2</v>
      </c>
      <c r="C154" s="33" t="str">
        <f>発注書!$C$3</f>
        <v>bb02787</v>
      </c>
      <c r="D154" s="33" t="str">
        <f>発注書!$D$3</f>
        <v>イルミナジョブ＆カレッジ千葉中央校</v>
      </c>
      <c r="E154" s="34" t="str">
        <f>発注書!$I$1</f>
        <v xml:space="preserve">2025年12月9日	</v>
      </c>
      <c r="F154" s="33" t="str">
        <f>発注書!E74</f>
        <v/>
      </c>
      <c r="G154" s="33" t="str">
        <f>発注書!F74</f>
        <v/>
      </c>
      <c r="H154" s="33">
        <f>発注書!G74</f>
        <v>0</v>
      </c>
      <c r="I154" s="33">
        <v>0</v>
      </c>
      <c r="J154" s="33" t="str">
        <f t="shared" si="3"/>
        <v/>
      </c>
      <c r="K154" s="33" t="e">
        <f>発注書!$F$5</f>
        <v>#N/A</v>
      </c>
    </row>
    <row r="155" spans="1:11" x14ac:dyDescent="0.15">
      <c r="A155" s="33">
        <f t="shared" si="0"/>
        <v>154</v>
      </c>
      <c r="B155" s="33">
        <v>2</v>
      </c>
      <c r="C155" s="33" t="str">
        <f>発注書!$C$3</f>
        <v>bb02787</v>
      </c>
      <c r="D155" s="33" t="str">
        <f>発注書!$D$3</f>
        <v>イルミナジョブ＆カレッジ千葉中央校</v>
      </c>
      <c r="E155" s="34" t="str">
        <f>発注書!$I$1</f>
        <v xml:space="preserve">2025年12月9日	</v>
      </c>
      <c r="F155" s="33" t="str">
        <f>発注書!E75</f>
        <v/>
      </c>
      <c r="G155" s="33" t="str">
        <f>発注書!F75</f>
        <v/>
      </c>
      <c r="H155" s="33">
        <f>発注書!G75</f>
        <v>0</v>
      </c>
      <c r="I155" s="33">
        <v>0</v>
      </c>
      <c r="J155" s="33" t="str">
        <f t="shared" si="3"/>
        <v/>
      </c>
      <c r="K155" s="33" t="e">
        <f>発注書!$F$5</f>
        <v>#N/A</v>
      </c>
    </row>
    <row r="156" spans="1:11" x14ac:dyDescent="0.15">
      <c r="A156" s="33">
        <f t="shared" si="0"/>
        <v>155</v>
      </c>
      <c r="B156" s="33">
        <v>2</v>
      </c>
      <c r="C156" s="33" t="str">
        <f>発注書!$C$3</f>
        <v>bb02787</v>
      </c>
      <c r="D156" s="33" t="str">
        <f>発注書!$D$3</f>
        <v>イルミナジョブ＆カレッジ千葉中央校</v>
      </c>
      <c r="E156" s="34" t="str">
        <f>発注書!$I$1</f>
        <v xml:space="preserve">2025年12月9日	</v>
      </c>
      <c r="F156" s="33" t="str">
        <f>発注書!E76</f>
        <v/>
      </c>
      <c r="G156" s="33" t="str">
        <f>発注書!F76</f>
        <v/>
      </c>
      <c r="H156" s="33">
        <f>発注書!G76</f>
        <v>0</v>
      </c>
      <c r="I156" s="33">
        <v>0</v>
      </c>
      <c r="J156" s="33" t="str">
        <f t="shared" si="3"/>
        <v/>
      </c>
      <c r="K156" s="33" t="e">
        <f>発注書!$F$5</f>
        <v>#N/A</v>
      </c>
    </row>
    <row r="157" spans="1:11" x14ac:dyDescent="0.15">
      <c r="A157" s="33">
        <f t="shared" si="0"/>
        <v>156</v>
      </c>
      <c r="B157" s="33">
        <v>2</v>
      </c>
      <c r="C157" s="33" t="str">
        <f>発注書!$C$3</f>
        <v>bb02787</v>
      </c>
      <c r="D157" s="33" t="str">
        <f>発注書!$D$3</f>
        <v>イルミナジョブ＆カレッジ千葉中央校</v>
      </c>
      <c r="E157" s="34" t="str">
        <f>発注書!$I$1</f>
        <v xml:space="preserve">2025年12月9日	</v>
      </c>
      <c r="F157" s="33" t="str">
        <f>発注書!E77</f>
        <v/>
      </c>
      <c r="G157" s="33" t="str">
        <f>発注書!F77</f>
        <v/>
      </c>
      <c r="H157" s="33">
        <f>発注書!G77</f>
        <v>0</v>
      </c>
      <c r="I157" s="33">
        <v>0</v>
      </c>
      <c r="J157" s="33" t="str">
        <f t="shared" si="3"/>
        <v/>
      </c>
      <c r="K157" s="33" t="e">
        <f>発注書!$F$5</f>
        <v>#N/A</v>
      </c>
    </row>
    <row r="158" spans="1:11" x14ac:dyDescent="0.15">
      <c r="A158" s="33">
        <f t="shared" si="0"/>
        <v>157</v>
      </c>
      <c r="B158" s="33">
        <v>2</v>
      </c>
      <c r="C158" s="33" t="str">
        <f>発注書!$C$3</f>
        <v>bb02787</v>
      </c>
      <c r="D158" s="33" t="str">
        <f>発注書!$D$3</f>
        <v>イルミナジョブ＆カレッジ千葉中央校</v>
      </c>
      <c r="E158" s="34" t="str">
        <f>発注書!$I$1</f>
        <v xml:space="preserve">2025年12月9日	</v>
      </c>
      <c r="F158" s="33" t="str">
        <f>発注書!E78</f>
        <v/>
      </c>
      <c r="G158" s="33" t="str">
        <f>発注書!F78</f>
        <v/>
      </c>
      <c r="H158" s="33">
        <f>発注書!G78</f>
        <v>0</v>
      </c>
      <c r="I158" s="33">
        <v>0</v>
      </c>
      <c r="J158" s="33" t="str">
        <f t="shared" si="3"/>
        <v/>
      </c>
      <c r="K158" s="33" t="e">
        <f>発注書!$F$5</f>
        <v>#N/A</v>
      </c>
    </row>
    <row r="159" spans="1:11" x14ac:dyDescent="0.15">
      <c r="A159" s="33">
        <f t="shared" si="0"/>
        <v>158</v>
      </c>
      <c r="B159" s="33">
        <v>2</v>
      </c>
      <c r="C159" s="33" t="str">
        <f>発注書!$C$3</f>
        <v>bb02787</v>
      </c>
      <c r="D159" s="33" t="str">
        <f>発注書!$D$3</f>
        <v>イルミナジョブ＆カレッジ千葉中央校</v>
      </c>
      <c r="E159" s="34" t="str">
        <f>発注書!$I$1</f>
        <v xml:space="preserve">2025年12月9日	</v>
      </c>
      <c r="F159" s="33" t="str">
        <f>発注書!E79</f>
        <v/>
      </c>
      <c r="G159" s="33" t="str">
        <f>発注書!F79</f>
        <v/>
      </c>
      <c r="H159" s="33">
        <f>発注書!G79</f>
        <v>0</v>
      </c>
      <c r="I159" s="33">
        <v>0</v>
      </c>
      <c r="J159" s="33" t="str">
        <f t="shared" si="3"/>
        <v/>
      </c>
      <c r="K159" s="33" t="e">
        <f>発注書!$F$5</f>
        <v>#N/A</v>
      </c>
    </row>
    <row r="160" spans="1:11" x14ac:dyDescent="0.15">
      <c r="A160" s="33">
        <f t="shared" si="0"/>
        <v>159</v>
      </c>
      <c r="B160" s="33">
        <v>2</v>
      </c>
      <c r="C160" s="33" t="str">
        <f>発注書!$C$3</f>
        <v>bb02787</v>
      </c>
      <c r="D160" s="33" t="str">
        <f>発注書!$D$3</f>
        <v>イルミナジョブ＆カレッジ千葉中央校</v>
      </c>
      <c r="E160" s="34" t="str">
        <f>発注書!$I$1</f>
        <v xml:space="preserve">2025年12月9日	</v>
      </c>
      <c r="F160" s="33" t="str">
        <f>発注書!E80</f>
        <v/>
      </c>
      <c r="G160" s="33" t="str">
        <f>発注書!F80</f>
        <v/>
      </c>
      <c r="H160" s="33">
        <f>発注書!G80</f>
        <v>0</v>
      </c>
      <c r="I160" s="33">
        <v>0</v>
      </c>
      <c r="J160" s="33" t="str">
        <f t="shared" si="3"/>
        <v/>
      </c>
      <c r="K160" s="33" t="e">
        <f>発注書!$F$5</f>
        <v>#N/A</v>
      </c>
    </row>
    <row r="161" spans="1:11" x14ac:dyDescent="0.15">
      <c r="A161" s="33">
        <f t="shared" si="0"/>
        <v>160</v>
      </c>
      <c r="B161" s="33">
        <v>2</v>
      </c>
      <c r="C161" s="33" t="str">
        <f>発注書!$C$3</f>
        <v>bb02787</v>
      </c>
      <c r="D161" s="33" t="str">
        <f>発注書!$D$3</f>
        <v>イルミナジョブ＆カレッジ千葉中央校</v>
      </c>
      <c r="E161" s="34" t="str">
        <f>発注書!$I$1</f>
        <v xml:space="preserve">2025年12月9日	</v>
      </c>
      <c r="F161" s="33" t="str">
        <f>発注書!E81</f>
        <v/>
      </c>
      <c r="G161" s="33" t="str">
        <f>発注書!F81</f>
        <v/>
      </c>
      <c r="H161" s="33">
        <f>発注書!G81</f>
        <v>0</v>
      </c>
      <c r="I161" s="33">
        <v>0</v>
      </c>
      <c r="J161" s="33" t="str">
        <f t="shared" si="3"/>
        <v/>
      </c>
      <c r="K161" s="33" t="e">
        <f>発注書!$F$5</f>
        <v>#N/A</v>
      </c>
    </row>
    <row r="162" spans="1:11" x14ac:dyDescent="0.15">
      <c r="A162" s="33">
        <f t="shared" si="0"/>
        <v>161</v>
      </c>
      <c r="B162" s="33">
        <v>2</v>
      </c>
      <c r="C162" s="33" t="str">
        <f>発注書!$C$3</f>
        <v>bb02787</v>
      </c>
      <c r="D162" s="33" t="str">
        <f>発注書!$D$3</f>
        <v>イルミナジョブ＆カレッジ千葉中央校</v>
      </c>
      <c r="E162" s="34" t="str">
        <f>発注書!$I$1</f>
        <v xml:space="preserve">2025年12月9日	</v>
      </c>
      <c r="F162" s="33" t="str">
        <f>発注書!E82</f>
        <v/>
      </c>
      <c r="G162" s="33" t="str">
        <f>発注書!F82</f>
        <v/>
      </c>
      <c r="H162" s="33">
        <f>発注書!G82</f>
        <v>0</v>
      </c>
      <c r="I162" s="33">
        <v>0</v>
      </c>
      <c r="J162" s="33" t="str">
        <f t="shared" si="3"/>
        <v/>
      </c>
      <c r="K162" s="33" t="e">
        <f>発注書!$F$5</f>
        <v>#N/A</v>
      </c>
    </row>
    <row r="163" spans="1:11" x14ac:dyDescent="0.15">
      <c r="A163" s="33">
        <f t="shared" si="0"/>
        <v>162</v>
      </c>
      <c r="B163" s="33">
        <v>2</v>
      </c>
      <c r="C163" s="33" t="str">
        <f>発注書!$C$3</f>
        <v>bb02787</v>
      </c>
      <c r="D163" s="33" t="str">
        <f>発注書!$D$3</f>
        <v>イルミナジョブ＆カレッジ千葉中央校</v>
      </c>
      <c r="E163" s="34" t="str">
        <f>発注書!$I$1</f>
        <v xml:space="preserve">2025年12月9日	</v>
      </c>
      <c r="F163" s="33" t="str">
        <f>発注書!E83</f>
        <v/>
      </c>
      <c r="G163" s="33" t="str">
        <f>発注書!F83</f>
        <v/>
      </c>
      <c r="H163" s="33">
        <f>発注書!G83</f>
        <v>0</v>
      </c>
      <c r="I163" s="33">
        <v>0</v>
      </c>
      <c r="J163" s="33" t="str">
        <f t="shared" si="3"/>
        <v/>
      </c>
      <c r="K163" s="33" t="e">
        <f>発注書!$F$5</f>
        <v>#N/A</v>
      </c>
    </row>
    <row r="164" spans="1:11" x14ac:dyDescent="0.15">
      <c r="A164" s="33">
        <f t="shared" si="0"/>
        <v>163</v>
      </c>
      <c r="B164" s="33">
        <v>2</v>
      </c>
      <c r="C164" s="33" t="str">
        <f>発注書!$C$3</f>
        <v>bb02787</v>
      </c>
      <c r="D164" s="33" t="str">
        <f>発注書!$D$3</f>
        <v>イルミナジョブ＆カレッジ千葉中央校</v>
      </c>
      <c r="E164" s="34" t="str">
        <f>発注書!$I$1</f>
        <v xml:space="preserve">2025年12月9日	</v>
      </c>
      <c r="F164" s="33" t="str">
        <f>発注書!E84</f>
        <v/>
      </c>
      <c r="G164" s="33" t="str">
        <f>発注書!F84</f>
        <v/>
      </c>
      <c r="H164" s="33">
        <f>発注書!G84</f>
        <v>0</v>
      </c>
      <c r="I164" s="33">
        <v>0</v>
      </c>
      <c r="J164" s="33" t="str">
        <f t="shared" si="3"/>
        <v/>
      </c>
      <c r="K164" s="33" t="e">
        <f>発注書!$F$5</f>
        <v>#N/A</v>
      </c>
    </row>
    <row r="165" spans="1:11" x14ac:dyDescent="0.15">
      <c r="A165" s="33">
        <f t="shared" si="0"/>
        <v>164</v>
      </c>
      <c r="B165" s="33">
        <v>2</v>
      </c>
      <c r="C165" s="33" t="str">
        <f>発注書!$C$3</f>
        <v>bb02787</v>
      </c>
      <c r="D165" s="33" t="str">
        <f>発注書!$D$3</f>
        <v>イルミナジョブ＆カレッジ千葉中央校</v>
      </c>
      <c r="E165" s="34" t="str">
        <f>発注書!$I$1</f>
        <v xml:space="preserve">2025年12月9日	</v>
      </c>
      <c r="F165" s="33" t="str">
        <f>発注書!E85</f>
        <v/>
      </c>
      <c r="G165" s="33" t="str">
        <f>発注書!F85</f>
        <v/>
      </c>
      <c r="H165" s="33">
        <f>発注書!G85</f>
        <v>0</v>
      </c>
      <c r="I165" s="33">
        <v>0</v>
      </c>
      <c r="J165" s="33" t="str">
        <f t="shared" si="3"/>
        <v/>
      </c>
      <c r="K165" s="33" t="e">
        <f>発注書!$F$5</f>
        <v>#N/A</v>
      </c>
    </row>
    <row r="166" spans="1:11" x14ac:dyDescent="0.15">
      <c r="A166" s="33">
        <f t="shared" si="0"/>
        <v>165</v>
      </c>
      <c r="B166" s="33">
        <v>2</v>
      </c>
      <c r="C166" s="33" t="str">
        <f>発注書!$C$3</f>
        <v>bb02787</v>
      </c>
      <c r="D166" s="33" t="str">
        <f>発注書!$D$3</f>
        <v>イルミナジョブ＆カレッジ千葉中央校</v>
      </c>
      <c r="E166" s="34" t="str">
        <f>発注書!$I$1</f>
        <v xml:space="preserve">2025年12月9日	</v>
      </c>
      <c r="F166" s="33" t="str">
        <f>発注書!E86</f>
        <v/>
      </c>
      <c r="G166" s="33" t="str">
        <f>発注書!F86</f>
        <v/>
      </c>
      <c r="H166" s="33">
        <f>発注書!G86</f>
        <v>0</v>
      </c>
      <c r="I166" s="33">
        <v>0</v>
      </c>
      <c r="J166" s="33" t="str">
        <f t="shared" si="3"/>
        <v/>
      </c>
      <c r="K166" s="33" t="e">
        <f>発注書!$F$5</f>
        <v>#N/A</v>
      </c>
    </row>
    <row r="167" spans="1:11" x14ac:dyDescent="0.15">
      <c r="A167" s="33">
        <f t="shared" si="0"/>
        <v>166</v>
      </c>
      <c r="B167" s="33">
        <v>2</v>
      </c>
      <c r="C167" s="33" t="str">
        <f>発注書!$C$3</f>
        <v>bb02787</v>
      </c>
      <c r="D167" s="33" t="str">
        <f>発注書!$D$3</f>
        <v>イルミナジョブ＆カレッジ千葉中央校</v>
      </c>
      <c r="E167" s="34" t="str">
        <f>発注書!$I$1</f>
        <v xml:space="preserve">2025年12月9日	</v>
      </c>
      <c r="F167" s="33" t="str">
        <f>発注書!H6</f>
        <v/>
      </c>
      <c r="G167" s="33" t="str">
        <f>発注書!I6</f>
        <v/>
      </c>
      <c r="H167" s="33">
        <f>発注書!J6</f>
        <v>0</v>
      </c>
      <c r="I167" s="33">
        <v>0</v>
      </c>
      <c r="J167" s="33" t="str">
        <f t="shared" ref="J167:J330" si="4">LEFT(F167,2)</f>
        <v/>
      </c>
      <c r="K167" s="33" t="e">
        <f>発注書!$I$5</f>
        <v>#N/A</v>
      </c>
    </row>
    <row r="168" spans="1:11" x14ac:dyDescent="0.15">
      <c r="A168" s="33">
        <f t="shared" ref="A168:A331" si="5">ROW()-1</f>
        <v>167</v>
      </c>
      <c r="B168" s="33">
        <v>2</v>
      </c>
      <c r="C168" s="33" t="str">
        <f>発注書!$C$3</f>
        <v>bb02787</v>
      </c>
      <c r="D168" s="33" t="str">
        <f>発注書!$D$3</f>
        <v>イルミナジョブ＆カレッジ千葉中央校</v>
      </c>
      <c r="E168" s="34" t="str">
        <f>発注書!$I$1</f>
        <v xml:space="preserve">2025年12月9日	</v>
      </c>
      <c r="F168" s="33" t="str">
        <f>発注書!H7</f>
        <v/>
      </c>
      <c r="G168" s="33" t="str">
        <f>発注書!I7</f>
        <v/>
      </c>
      <c r="H168" s="33">
        <f>発注書!J7</f>
        <v>0</v>
      </c>
      <c r="I168" s="33">
        <v>0</v>
      </c>
      <c r="J168" s="33" t="str">
        <f t="shared" si="4"/>
        <v/>
      </c>
      <c r="K168" s="33" t="e">
        <f>発注書!$I$5</f>
        <v>#N/A</v>
      </c>
    </row>
    <row r="169" spans="1:11" x14ac:dyDescent="0.15">
      <c r="A169" s="33">
        <f t="shared" si="5"/>
        <v>168</v>
      </c>
      <c r="B169" s="33">
        <v>2</v>
      </c>
      <c r="C169" s="33" t="str">
        <f>発注書!$C$3</f>
        <v>bb02787</v>
      </c>
      <c r="D169" s="33" t="str">
        <f>発注書!$D$3</f>
        <v>イルミナジョブ＆カレッジ千葉中央校</v>
      </c>
      <c r="E169" s="34" t="str">
        <f>発注書!$I$1</f>
        <v xml:space="preserve">2025年12月9日	</v>
      </c>
      <c r="F169" s="33" t="str">
        <f>発注書!H8</f>
        <v/>
      </c>
      <c r="G169" s="33" t="str">
        <f>発注書!I8</f>
        <v/>
      </c>
      <c r="H169" s="33">
        <f>発注書!J8</f>
        <v>0</v>
      </c>
      <c r="I169" s="33">
        <v>0</v>
      </c>
      <c r="J169" s="33" t="str">
        <f t="shared" si="4"/>
        <v/>
      </c>
      <c r="K169" s="33" t="e">
        <f>発注書!$I$5</f>
        <v>#N/A</v>
      </c>
    </row>
    <row r="170" spans="1:11" x14ac:dyDescent="0.15">
      <c r="A170" s="33">
        <f t="shared" si="5"/>
        <v>169</v>
      </c>
      <c r="B170" s="33">
        <v>2</v>
      </c>
      <c r="C170" s="33" t="str">
        <f>発注書!$C$3</f>
        <v>bb02787</v>
      </c>
      <c r="D170" s="33" t="str">
        <f>発注書!$D$3</f>
        <v>イルミナジョブ＆カレッジ千葉中央校</v>
      </c>
      <c r="E170" s="34" t="str">
        <f>発注書!$I$1</f>
        <v xml:space="preserve">2025年12月9日	</v>
      </c>
      <c r="F170" s="33" t="str">
        <f>発注書!H9</f>
        <v/>
      </c>
      <c r="G170" s="33" t="str">
        <f>発注書!I9</f>
        <v/>
      </c>
      <c r="H170" s="33">
        <f>発注書!J9</f>
        <v>0</v>
      </c>
      <c r="I170" s="33">
        <v>0</v>
      </c>
      <c r="J170" s="33" t="str">
        <f t="shared" si="4"/>
        <v/>
      </c>
      <c r="K170" s="33" t="e">
        <f>発注書!$I$5</f>
        <v>#N/A</v>
      </c>
    </row>
    <row r="171" spans="1:11" x14ac:dyDescent="0.15">
      <c r="A171" s="33">
        <f t="shared" si="5"/>
        <v>170</v>
      </c>
      <c r="B171" s="33">
        <v>2</v>
      </c>
      <c r="C171" s="33" t="str">
        <f>発注書!$C$3</f>
        <v>bb02787</v>
      </c>
      <c r="D171" s="33" t="str">
        <f>発注書!$D$3</f>
        <v>イルミナジョブ＆カレッジ千葉中央校</v>
      </c>
      <c r="E171" s="34" t="str">
        <f>発注書!$I$1</f>
        <v xml:space="preserve">2025年12月9日	</v>
      </c>
      <c r="F171" s="33" t="str">
        <f>発注書!H10</f>
        <v/>
      </c>
      <c r="G171" s="33" t="str">
        <f>発注書!I10</f>
        <v/>
      </c>
      <c r="H171" s="33">
        <f>発注書!J10</f>
        <v>0</v>
      </c>
      <c r="I171" s="33">
        <v>0</v>
      </c>
      <c r="J171" s="33" t="str">
        <f t="shared" si="4"/>
        <v/>
      </c>
      <c r="K171" s="33" t="e">
        <f>発注書!$I$5</f>
        <v>#N/A</v>
      </c>
    </row>
    <row r="172" spans="1:11" x14ac:dyDescent="0.15">
      <c r="A172" s="33">
        <f t="shared" si="5"/>
        <v>171</v>
      </c>
      <c r="B172" s="33">
        <v>2</v>
      </c>
      <c r="C172" s="33" t="str">
        <f>発注書!$C$3</f>
        <v>bb02787</v>
      </c>
      <c r="D172" s="33" t="str">
        <f>発注書!$D$3</f>
        <v>イルミナジョブ＆カレッジ千葉中央校</v>
      </c>
      <c r="E172" s="34" t="str">
        <f>発注書!$I$1</f>
        <v xml:space="preserve">2025年12月9日	</v>
      </c>
      <c r="F172" s="33" t="str">
        <f>発注書!H11</f>
        <v/>
      </c>
      <c r="G172" s="33" t="str">
        <f>発注書!I11</f>
        <v/>
      </c>
      <c r="H172" s="33">
        <f>発注書!J11</f>
        <v>0</v>
      </c>
      <c r="I172" s="33">
        <v>0</v>
      </c>
      <c r="J172" s="33" t="str">
        <f t="shared" si="4"/>
        <v/>
      </c>
      <c r="K172" s="33" t="e">
        <f>発注書!$I$5</f>
        <v>#N/A</v>
      </c>
    </row>
    <row r="173" spans="1:11" x14ac:dyDescent="0.15">
      <c r="A173" s="33">
        <f t="shared" si="5"/>
        <v>172</v>
      </c>
      <c r="B173" s="33">
        <v>2</v>
      </c>
      <c r="C173" s="33" t="str">
        <f>発注書!$C$3</f>
        <v>bb02787</v>
      </c>
      <c r="D173" s="33" t="str">
        <f>発注書!$D$3</f>
        <v>イルミナジョブ＆カレッジ千葉中央校</v>
      </c>
      <c r="E173" s="34" t="str">
        <f>発注書!$I$1</f>
        <v xml:space="preserve">2025年12月9日	</v>
      </c>
      <c r="F173" s="33" t="str">
        <f>発注書!H12</f>
        <v/>
      </c>
      <c r="G173" s="33" t="str">
        <f>発注書!I12</f>
        <v/>
      </c>
      <c r="H173" s="33">
        <f>発注書!J12</f>
        <v>0</v>
      </c>
      <c r="I173" s="33">
        <v>0</v>
      </c>
      <c r="J173" s="33" t="str">
        <f t="shared" si="4"/>
        <v/>
      </c>
      <c r="K173" s="33" t="e">
        <f>発注書!$I$5</f>
        <v>#N/A</v>
      </c>
    </row>
    <row r="174" spans="1:11" x14ac:dyDescent="0.15">
      <c r="A174" s="33">
        <f t="shared" si="5"/>
        <v>173</v>
      </c>
      <c r="B174" s="33">
        <v>2</v>
      </c>
      <c r="C174" s="33" t="str">
        <f>発注書!$C$3</f>
        <v>bb02787</v>
      </c>
      <c r="D174" s="33" t="str">
        <f>発注書!$D$3</f>
        <v>イルミナジョブ＆カレッジ千葉中央校</v>
      </c>
      <c r="E174" s="34" t="str">
        <f>発注書!$I$1</f>
        <v xml:space="preserve">2025年12月9日	</v>
      </c>
      <c r="F174" s="33" t="str">
        <f>発注書!H13</f>
        <v/>
      </c>
      <c r="G174" s="33" t="str">
        <f>発注書!I13</f>
        <v/>
      </c>
      <c r="H174" s="33">
        <f>発注書!J13</f>
        <v>0</v>
      </c>
      <c r="I174" s="33">
        <v>0</v>
      </c>
      <c r="J174" s="33" t="str">
        <f t="shared" si="4"/>
        <v/>
      </c>
      <c r="K174" s="33" t="e">
        <f>発注書!$I$5</f>
        <v>#N/A</v>
      </c>
    </row>
    <row r="175" spans="1:11" x14ac:dyDescent="0.15">
      <c r="A175" s="33">
        <f t="shared" si="5"/>
        <v>174</v>
      </c>
      <c r="B175" s="33">
        <v>2</v>
      </c>
      <c r="C175" s="33" t="str">
        <f>発注書!$C$3</f>
        <v>bb02787</v>
      </c>
      <c r="D175" s="33" t="str">
        <f>発注書!$D$3</f>
        <v>イルミナジョブ＆カレッジ千葉中央校</v>
      </c>
      <c r="E175" s="34" t="str">
        <f>発注書!$I$1</f>
        <v xml:space="preserve">2025年12月9日	</v>
      </c>
      <c r="F175" s="33" t="str">
        <f>発注書!H14</f>
        <v/>
      </c>
      <c r="G175" s="33" t="str">
        <f>発注書!I14</f>
        <v/>
      </c>
      <c r="H175" s="33">
        <f>発注書!J14</f>
        <v>0</v>
      </c>
      <c r="I175" s="33">
        <v>0</v>
      </c>
      <c r="J175" s="33" t="str">
        <f t="shared" si="4"/>
        <v/>
      </c>
      <c r="K175" s="33" t="e">
        <f>発注書!$I$5</f>
        <v>#N/A</v>
      </c>
    </row>
    <row r="176" spans="1:11" x14ac:dyDescent="0.15">
      <c r="A176" s="33">
        <f t="shared" si="5"/>
        <v>175</v>
      </c>
      <c r="B176" s="33">
        <v>2</v>
      </c>
      <c r="C176" s="33" t="str">
        <f>発注書!$C$3</f>
        <v>bb02787</v>
      </c>
      <c r="D176" s="33" t="str">
        <f>発注書!$D$3</f>
        <v>イルミナジョブ＆カレッジ千葉中央校</v>
      </c>
      <c r="E176" s="34" t="str">
        <f>発注書!$I$1</f>
        <v xml:space="preserve">2025年12月9日	</v>
      </c>
      <c r="F176" s="33" t="str">
        <f>発注書!H15</f>
        <v/>
      </c>
      <c r="G176" s="33" t="str">
        <f>発注書!I15</f>
        <v/>
      </c>
      <c r="H176" s="33">
        <f>発注書!J15</f>
        <v>0</v>
      </c>
      <c r="I176" s="33">
        <v>0</v>
      </c>
      <c r="J176" s="33" t="str">
        <f t="shared" si="4"/>
        <v/>
      </c>
      <c r="K176" s="33" t="e">
        <f>発注書!$I$5</f>
        <v>#N/A</v>
      </c>
    </row>
    <row r="177" spans="1:11" x14ac:dyDescent="0.15">
      <c r="A177" s="33">
        <f t="shared" si="5"/>
        <v>176</v>
      </c>
      <c r="B177" s="33">
        <v>2</v>
      </c>
      <c r="C177" s="33" t="str">
        <f>発注書!$C$3</f>
        <v>bb02787</v>
      </c>
      <c r="D177" s="33" t="str">
        <f>発注書!$D$3</f>
        <v>イルミナジョブ＆カレッジ千葉中央校</v>
      </c>
      <c r="E177" s="34" t="str">
        <f>発注書!$I$1</f>
        <v xml:space="preserve">2025年12月9日	</v>
      </c>
      <c r="F177" s="33" t="str">
        <f>発注書!H16</f>
        <v/>
      </c>
      <c r="G177" s="33" t="str">
        <f>発注書!I16</f>
        <v/>
      </c>
      <c r="H177" s="33">
        <f>発注書!J16</f>
        <v>0</v>
      </c>
      <c r="I177" s="33">
        <v>0</v>
      </c>
      <c r="J177" s="33" t="str">
        <f t="shared" si="4"/>
        <v/>
      </c>
      <c r="K177" s="33" t="e">
        <f>発注書!$I$5</f>
        <v>#N/A</v>
      </c>
    </row>
    <row r="178" spans="1:11" x14ac:dyDescent="0.15">
      <c r="A178" s="33">
        <f t="shared" si="5"/>
        <v>177</v>
      </c>
      <c r="B178" s="33">
        <v>2</v>
      </c>
      <c r="C178" s="33" t="str">
        <f>発注書!$C$3</f>
        <v>bb02787</v>
      </c>
      <c r="D178" s="33" t="str">
        <f>発注書!$D$3</f>
        <v>イルミナジョブ＆カレッジ千葉中央校</v>
      </c>
      <c r="E178" s="34" t="str">
        <f>発注書!$I$1</f>
        <v xml:space="preserve">2025年12月9日	</v>
      </c>
      <c r="F178" s="33" t="str">
        <f>発注書!H17</f>
        <v/>
      </c>
      <c r="G178" s="33" t="str">
        <f>発注書!I17</f>
        <v/>
      </c>
      <c r="H178" s="33">
        <f>発注書!J17</f>
        <v>0</v>
      </c>
      <c r="I178" s="33">
        <v>0</v>
      </c>
      <c r="J178" s="33" t="str">
        <f t="shared" si="4"/>
        <v/>
      </c>
      <c r="K178" s="33" t="e">
        <f>発注書!$I$5</f>
        <v>#N/A</v>
      </c>
    </row>
    <row r="179" spans="1:11" x14ac:dyDescent="0.15">
      <c r="A179" s="33">
        <f t="shared" si="5"/>
        <v>178</v>
      </c>
      <c r="B179" s="33">
        <v>2</v>
      </c>
      <c r="C179" s="33" t="str">
        <f>発注書!$C$3</f>
        <v>bb02787</v>
      </c>
      <c r="D179" s="33" t="str">
        <f>発注書!$D$3</f>
        <v>イルミナジョブ＆カレッジ千葉中央校</v>
      </c>
      <c r="E179" s="34" t="str">
        <f>発注書!$I$1</f>
        <v xml:space="preserve">2025年12月9日	</v>
      </c>
      <c r="F179" s="33" t="str">
        <f>発注書!H18</f>
        <v/>
      </c>
      <c r="G179" s="33" t="str">
        <f>発注書!I18</f>
        <v/>
      </c>
      <c r="H179" s="33">
        <f>発注書!J18</f>
        <v>0</v>
      </c>
      <c r="I179" s="33">
        <v>0</v>
      </c>
      <c r="J179" s="33" t="str">
        <f t="shared" si="4"/>
        <v/>
      </c>
      <c r="K179" s="33" t="e">
        <f>発注書!$I$5</f>
        <v>#N/A</v>
      </c>
    </row>
    <row r="180" spans="1:11" x14ac:dyDescent="0.15">
      <c r="A180" s="33">
        <f t="shared" si="5"/>
        <v>179</v>
      </c>
      <c r="B180" s="33">
        <v>2</v>
      </c>
      <c r="C180" s="33" t="str">
        <f>発注書!$C$3</f>
        <v>bb02787</v>
      </c>
      <c r="D180" s="33" t="str">
        <f>発注書!$D$3</f>
        <v>イルミナジョブ＆カレッジ千葉中央校</v>
      </c>
      <c r="E180" s="34" t="str">
        <f>発注書!$I$1</f>
        <v xml:space="preserve">2025年12月9日	</v>
      </c>
      <c r="F180" s="33" t="str">
        <f>発注書!H19</f>
        <v/>
      </c>
      <c r="G180" s="33" t="str">
        <f>発注書!I19</f>
        <v/>
      </c>
      <c r="H180" s="33">
        <f>発注書!J19</f>
        <v>0</v>
      </c>
      <c r="I180" s="33">
        <v>0</v>
      </c>
      <c r="J180" s="33" t="str">
        <f t="shared" si="4"/>
        <v/>
      </c>
      <c r="K180" s="33" t="e">
        <f>発注書!$I$5</f>
        <v>#N/A</v>
      </c>
    </row>
    <row r="181" spans="1:11" x14ac:dyDescent="0.15">
      <c r="A181" s="33">
        <f t="shared" si="5"/>
        <v>180</v>
      </c>
      <c r="B181" s="33">
        <v>2</v>
      </c>
      <c r="C181" s="33" t="str">
        <f>発注書!$C$3</f>
        <v>bb02787</v>
      </c>
      <c r="D181" s="33" t="str">
        <f>発注書!$D$3</f>
        <v>イルミナジョブ＆カレッジ千葉中央校</v>
      </c>
      <c r="E181" s="34" t="str">
        <f>発注書!$I$1</f>
        <v xml:space="preserve">2025年12月9日	</v>
      </c>
      <c r="F181" s="33" t="str">
        <f>発注書!H20</f>
        <v/>
      </c>
      <c r="G181" s="33" t="str">
        <f>発注書!I20</f>
        <v/>
      </c>
      <c r="H181" s="33">
        <f>発注書!J20</f>
        <v>0</v>
      </c>
      <c r="I181" s="33">
        <v>0</v>
      </c>
      <c r="J181" s="33" t="str">
        <f t="shared" si="4"/>
        <v/>
      </c>
      <c r="K181" s="33" t="e">
        <f>発注書!$I$5</f>
        <v>#N/A</v>
      </c>
    </row>
    <row r="182" spans="1:11" x14ac:dyDescent="0.15">
      <c r="A182" s="33">
        <f t="shared" si="5"/>
        <v>181</v>
      </c>
      <c r="B182" s="33">
        <v>2</v>
      </c>
      <c r="C182" s="33" t="str">
        <f>発注書!$C$3</f>
        <v>bb02787</v>
      </c>
      <c r="D182" s="33" t="str">
        <f>発注書!$D$3</f>
        <v>イルミナジョブ＆カレッジ千葉中央校</v>
      </c>
      <c r="E182" s="34" t="str">
        <f>発注書!$I$1</f>
        <v xml:space="preserve">2025年12月9日	</v>
      </c>
      <c r="F182" s="33" t="str">
        <f>発注書!H21</f>
        <v/>
      </c>
      <c r="G182" s="33" t="str">
        <f>発注書!I21</f>
        <v/>
      </c>
      <c r="H182" s="33">
        <f>発注書!J21</f>
        <v>0</v>
      </c>
      <c r="I182" s="33">
        <v>0</v>
      </c>
      <c r="J182" s="33" t="str">
        <f t="shared" si="4"/>
        <v/>
      </c>
      <c r="K182" s="33" t="e">
        <f>発注書!$I$5</f>
        <v>#N/A</v>
      </c>
    </row>
    <row r="183" spans="1:11" x14ac:dyDescent="0.15">
      <c r="A183" s="33">
        <f t="shared" si="5"/>
        <v>182</v>
      </c>
      <c r="B183" s="33">
        <v>2</v>
      </c>
      <c r="C183" s="33" t="str">
        <f>発注書!$C$3</f>
        <v>bb02787</v>
      </c>
      <c r="D183" s="33" t="str">
        <f>発注書!$D$3</f>
        <v>イルミナジョブ＆カレッジ千葉中央校</v>
      </c>
      <c r="E183" s="34" t="str">
        <f>発注書!$I$1</f>
        <v xml:space="preserve">2025年12月9日	</v>
      </c>
      <c r="F183" s="33" t="str">
        <f>発注書!H22</f>
        <v/>
      </c>
      <c r="G183" s="33" t="str">
        <f>発注書!I22</f>
        <v/>
      </c>
      <c r="H183" s="33">
        <f>発注書!J22</f>
        <v>0</v>
      </c>
      <c r="I183" s="33">
        <v>0</v>
      </c>
      <c r="J183" s="33" t="str">
        <f t="shared" si="4"/>
        <v/>
      </c>
      <c r="K183" s="33" t="e">
        <f>発注書!$I$5</f>
        <v>#N/A</v>
      </c>
    </row>
    <row r="184" spans="1:11" x14ac:dyDescent="0.15">
      <c r="A184" s="33">
        <f t="shared" si="5"/>
        <v>183</v>
      </c>
      <c r="B184" s="33">
        <v>2</v>
      </c>
      <c r="C184" s="33" t="str">
        <f>発注書!$C$3</f>
        <v>bb02787</v>
      </c>
      <c r="D184" s="33" t="str">
        <f>発注書!$D$3</f>
        <v>イルミナジョブ＆カレッジ千葉中央校</v>
      </c>
      <c r="E184" s="34" t="str">
        <f>発注書!$I$1</f>
        <v xml:space="preserve">2025年12月9日	</v>
      </c>
      <c r="F184" s="33" t="str">
        <f>発注書!H23</f>
        <v/>
      </c>
      <c r="G184" s="33" t="str">
        <f>発注書!I23</f>
        <v/>
      </c>
      <c r="H184" s="33">
        <f>発注書!J23</f>
        <v>0</v>
      </c>
      <c r="I184" s="33">
        <v>0</v>
      </c>
      <c r="J184" s="33" t="str">
        <f t="shared" si="4"/>
        <v/>
      </c>
      <c r="K184" s="33" t="e">
        <f>発注書!$I$5</f>
        <v>#N/A</v>
      </c>
    </row>
    <row r="185" spans="1:11" x14ac:dyDescent="0.15">
      <c r="A185" s="33">
        <f t="shared" si="5"/>
        <v>184</v>
      </c>
      <c r="B185" s="33">
        <v>2</v>
      </c>
      <c r="C185" s="33" t="str">
        <f>発注書!$C$3</f>
        <v>bb02787</v>
      </c>
      <c r="D185" s="33" t="str">
        <f>発注書!$D$3</f>
        <v>イルミナジョブ＆カレッジ千葉中央校</v>
      </c>
      <c r="E185" s="34" t="str">
        <f>発注書!$I$1</f>
        <v xml:space="preserve">2025年12月9日	</v>
      </c>
      <c r="F185" s="33" t="str">
        <f>発注書!H24</f>
        <v/>
      </c>
      <c r="G185" s="33" t="str">
        <f>発注書!I24</f>
        <v/>
      </c>
      <c r="H185" s="33">
        <f>発注書!J24</f>
        <v>0</v>
      </c>
      <c r="I185" s="33">
        <v>0</v>
      </c>
      <c r="J185" s="33" t="str">
        <f t="shared" si="4"/>
        <v/>
      </c>
      <c r="K185" s="33" t="e">
        <f>発注書!$I$5</f>
        <v>#N/A</v>
      </c>
    </row>
    <row r="186" spans="1:11" x14ac:dyDescent="0.15">
      <c r="A186" s="33">
        <f t="shared" si="5"/>
        <v>185</v>
      </c>
      <c r="B186" s="33">
        <v>2</v>
      </c>
      <c r="C186" s="33" t="str">
        <f>発注書!$C$3</f>
        <v>bb02787</v>
      </c>
      <c r="D186" s="33" t="str">
        <f>発注書!$D$3</f>
        <v>イルミナジョブ＆カレッジ千葉中央校</v>
      </c>
      <c r="E186" s="34" t="str">
        <f>発注書!$I$1</f>
        <v xml:space="preserve">2025年12月9日	</v>
      </c>
      <c r="F186" s="33" t="str">
        <f>発注書!H25</f>
        <v/>
      </c>
      <c r="G186" s="33" t="str">
        <f>発注書!I25</f>
        <v/>
      </c>
      <c r="H186" s="33">
        <f>発注書!J25</f>
        <v>0</v>
      </c>
      <c r="I186" s="33">
        <v>0</v>
      </c>
      <c r="J186" s="33" t="str">
        <f t="shared" si="4"/>
        <v/>
      </c>
      <c r="K186" s="33" t="e">
        <f>発注書!$I$5</f>
        <v>#N/A</v>
      </c>
    </row>
    <row r="187" spans="1:11" x14ac:dyDescent="0.15">
      <c r="A187" s="33">
        <f t="shared" si="5"/>
        <v>186</v>
      </c>
      <c r="B187" s="33">
        <v>2</v>
      </c>
      <c r="C187" s="33" t="str">
        <f>発注書!$C$3</f>
        <v>bb02787</v>
      </c>
      <c r="D187" s="33" t="str">
        <f>発注書!$D$3</f>
        <v>イルミナジョブ＆カレッジ千葉中央校</v>
      </c>
      <c r="E187" s="34" t="str">
        <f>発注書!$I$1</f>
        <v xml:space="preserve">2025年12月9日	</v>
      </c>
      <c r="F187" s="33" t="str">
        <f>発注書!H26</f>
        <v/>
      </c>
      <c r="G187" s="33" t="str">
        <f>発注書!I26</f>
        <v/>
      </c>
      <c r="H187" s="33">
        <f>発注書!J26</f>
        <v>0</v>
      </c>
      <c r="I187" s="33">
        <v>0</v>
      </c>
      <c r="J187" s="33" t="str">
        <f t="shared" si="4"/>
        <v/>
      </c>
      <c r="K187" s="33" t="e">
        <f>発注書!$I$5</f>
        <v>#N/A</v>
      </c>
    </row>
    <row r="188" spans="1:11" x14ac:dyDescent="0.15">
      <c r="A188" s="33">
        <f t="shared" si="5"/>
        <v>187</v>
      </c>
      <c r="B188" s="33">
        <v>2</v>
      </c>
      <c r="C188" s="33" t="str">
        <f>発注書!$C$3</f>
        <v>bb02787</v>
      </c>
      <c r="D188" s="33" t="str">
        <f>発注書!$D$3</f>
        <v>イルミナジョブ＆カレッジ千葉中央校</v>
      </c>
      <c r="E188" s="34" t="str">
        <f>発注書!$I$1</f>
        <v xml:space="preserve">2025年12月9日	</v>
      </c>
      <c r="F188" s="33" t="str">
        <f>発注書!H27</f>
        <v/>
      </c>
      <c r="G188" s="33" t="str">
        <f>発注書!I27</f>
        <v/>
      </c>
      <c r="H188" s="33">
        <f>発注書!J27</f>
        <v>0</v>
      </c>
      <c r="I188" s="33">
        <v>0</v>
      </c>
      <c r="J188" s="33" t="str">
        <f t="shared" si="4"/>
        <v/>
      </c>
      <c r="K188" s="33" t="e">
        <f>発注書!$I$5</f>
        <v>#N/A</v>
      </c>
    </row>
    <row r="189" spans="1:11" x14ac:dyDescent="0.15">
      <c r="A189" s="33">
        <f t="shared" si="5"/>
        <v>188</v>
      </c>
      <c r="B189" s="33">
        <v>2</v>
      </c>
      <c r="C189" s="33" t="str">
        <f>発注書!$C$3</f>
        <v>bb02787</v>
      </c>
      <c r="D189" s="33" t="str">
        <f>発注書!$D$3</f>
        <v>イルミナジョブ＆カレッジ千葉中央校</v>
      </c>
      <c r="E189" s="34" t="str">
        <f>発注書!$I$1</f>
        <v xml:space="preserve">2025年12月9日	</v>
      </c>
      <c r="F189" s="33" t="str">
        <f>発注書!H28</f>
        <v/>
      </c>
      <c r="G189" s="33" t="str">
        <f>発注書!I28</f>
        <v/>
      </c>
      <c r="H189" s="33">
        <f>発注書!J28</f>
        <v>0</v>
      </c>
      <c r="I189" s="33">
        <v>0</v>
      </c>
      <c r="J189" s="33" t="str">
        <f t="shared" si="4"/>
        <v/>
      </c>
      <c r="K189" s="33" t="e">
        <f>発注書!$I$5</f>
        <v>#N/A</v>
      </c>
    </row>
    <row r="190" spans="1:11" x14ac:dyDescent="0.15">
      <c r="A190" s="33">
        <f t="shared" si="5"/>
        <v>189</v>
      </c>
      <c r="B190" s="33">
        <v>2</v>
      </c>
      <c r="C190" s="33" t="str">
        <f>発注書!$C$3</f>
        <v>bb02787</v>
      </c>
      <c r="D190" s="33" t="str">
        <f>発注書!$D$3</f>
        <v>イルミナジョブ＆カレッジ千葉中央校</v>
      </c>
      <c r="E190" s="34" t="str">
        <f>発注書!$I$1</f>
        <v xml:space="preserve">2025年12月9日	</v>
      </c>
      <c r="F190" s="33" t="str">
        <f>発注書!H29</f>
        <v/>
      </c>
      <c r="G190" s="33" t="str">
        <f>発注書!I29</f>
        <v/>
      </c>
      <c r="H190" s="33">
        <f>発注書!J29</f>
        <v>0</v>
      </c>
      <c r="I190" s="33">
        <v>0</v>
      </c>
      <c r="J190" s="33" t="str">
        <f t="shared" si="4"/>
        <v/>
      </c>
      <c r="K190" s="33" t="e">
        <f>発注書!$I$5</f>
        <v>#N/A</v>
      </c>
    </row>
    <row r="191" spans="1:11" x14ac:dyDescent="0.15">
      <c r="A191" s="33">
        <f t="shared" si="5"/>
        <v>190</v>
      </c>
      <c r="B191" s="33">
        <v>2</v>
      </c>
      <c r="C191" s="33" t="str">
        <f>発注書!$C$3</f>
        <v>bb02787</v>
      </c>
      <c r="D191" s="33" t="str">
        <f>発注書!$D$3</f>
        <v>イルミナジョブ＆カレッジ千葉中央校</v>
      </c>
      <c r="E191" s="34" t="str">
        <f>発注書!$I$1</f>
        <v xml:space="preserve">2025年12月9日	</v>
      </c>
      <c r="F191" s="33" t="str">
        <f>発注書!H30</f>
        <v/>
      </c>
      <c r="G191" s="33" t="str">
        <f>発注書!I30</f>
        <v/>
      </c>
      <c r="H191" s="33">
        <f>発注書!J30</f>
        <v>0</v>
      </c>
      <c r="I191" s="33">
        <v>0</v>
      </c>
      <c r="J191" s="33" t="str">
        <f t="shared" si="4"/>
        <v/>
      </c>
      <c r="K191" s="33" t="e">
        <f>発注書!$I$5</f>
        <v>#N/A</v>
      </c>
    </row>
    <row r="192" spans="1:11" x14ac:dyDescent="0.15">
      <c r="A192" s="33">
        <f t="shared" si="5"/>
        <v>191</v>
      </c>
      <c r="B192" s="33">
        <v>2</v>
      </c>
      <c r="C192" s="33" t="str">
        <f>発注書!$C$3</f>
        <v>bb02787</v>
      </c>
      <c r="D192" s="33" t="str">
        <f>発注書!$D$3</f>
        <v>イルミナジョブ＆カレッジ千葉中央校</v>
      </c>
      <c r="E192" s="34" t="str">
        <f>発注書!$I$1</f>
        <v xml:space="preserve">2025年12月9日	</v>
      </c>
      <c r="F192" s="33" t="str">
        <f>発注書!H31</f>
        <v/>
      </c>
      <c r="G192" s="33" t="str">
        <f>発注書!I31</f>
        <v/>
      </c>
      <c r="H192" s="33">
        <f>発注書!J31</f>
        <v>0</v>
      </c>
      <c r="I192" s="33">
        <v>0</v>
      </c>
      <c r="J192" s="33" t="str">
        <f t="shared" si="4"/>
        <v/>
      </c>
      <c r="K192" s="33" t="e">
        <f>発注書!$I$5</f>
        <v>#N/A</v>
      </c>
    </row>
    <row r="193" spans="1:11" x14ac:dyDescent="0.15">
      <c r="A193" s="33">
        <f t="shared" si="5"/>
        <v>192</v>
      </c>
      <c r="B193" s="33">
        <v>2</v>
      </c>
      <c r="C193" s="33" t="str">
        <f>発注書!$C$3</f>
        <v>bb02787</v>
      </c>
      <c r="D193" s="33" t="str">
        <f>発注書!$D$3</f>
        <v>イルミナジョブ＆カレッジ千葉中央校</v>
      </c>
      <c r="E193" s="34" t="str">
        <f>発注書!$I$1</f>
        <v xml:space="preserve">2025年12月9日	</v>
      </c>
      <c r="F193" s="33" t="str">
        <f>発注書!H32</f>
        <v/>
      </c>
      <c r="G193" s="33" t="str">
        <f>発注書!I32</f>
        <v/>
      </c>
      <c r="H193" s="33">
        <f>発注書!J32</f>
        <v>0</v>
      </c>
      <c r="I193" s="33">
        <v>0</v>
      </c>
      <c r="J193" s="33" t="str">
        <f t="shared" si="4"/>
        <v/>
      </c>
      <c r="K193" s="33" t="e">
        <f>発注書!$I$5</f>
        <v>#N/A</v>
      </c>
    </row>
    <row r="194" spans="1:11" x14ac:dyDescent="0.15">
      <c r="A194" s="33">
        <f t="shared" si="5"/>
        <v>193</v>
      </c>
      <c r="B194" s="33">
        <v>2</v>
      </c>
      <c r="C194" s="33" t="str">
        <f>発注書!$C$3</f>
        <v>bb02787</v>
      </c>
      <c r="D194" s="33" t="str">
        <f>発注書!$D$3</f>
        <v>イルミナジョブ＆カレッジ千葉中央校</v>
      </c>
      <c r="E194" s="34" t="str">
        <f>発注書!$I$1</f>
        <v xml:space="preserve">2025年12月9日	</v>
      </c>
      <c r="F194" s="33" t="str">
        <f>発注書!H33</f>
        <v/>
      </c>
      <c r="G194" s="33" t="str">
        <f>発注書!I33</f>
        <v/>
      </c>
      <c r="H194" s="33">
        <f>発注書!J33</f>
        <v>0</v>
      </c>
      <c r="I194" s="33">
        <v>0</v>
      </c>
      <c r="J194" s="33" t="str">
        <f t="shared" si="4"/>
        <v/>
      </c>
      <c r="K194" s="33" t="e">
        <f>発注書!$I$5</f>
        <v>#N/A</v>
      </c>
    </row>
    <row r="195" spans="1:11" x14ac:dyDescent="0.15">
      <c r="A195" s="33">
        <f t="shared" si="5"/>
        <v>194</v>
      </c>
      <c r="B195" s="33">
        <v>2</v>
      </c>
      <c r="C195" s="33" t="str">
        <f>発注書!$C$3</f>
        <v>bb02787</v>
      </c>
      <c r="D195" s="33" t="str">
        <f>発注書!$D$3</f>
        <v>イルミナジョブ＆カレッジ千葉中央校</v>
      </c>
      <c r="E195" s="34" t="str">
        <f>発注書!$I$1</f>
        <v xml:space="preserve">2025年12月9日	</v>
      </c>
      <c r="F195" s="33" t="str">
        <f>発注書!H34</f>
        <v/>
      </c>
      <c r="G195" s="33" t="str">
        <f>発注書!I34</f>
        <v/>
      </c>
      <c r="H195" s="33">
        <f>発注書!J34</f>
        <v>0</v>
      </c>
      <c r="I195" s="33">
        <v>0</v>
      </c>
      <c r="J195" s="33" t="str">
        <f t="shared" ref="J195:J247" si="6">LEFT(F195,2)</f>
        <v/>
      </c>
      <c r="K195" s="33" t="e">
        <f>発注書!$I$5</f>
        <v>#N/A</v>
      </c>
    </row>
    <row r="196" spans="1:11" x14ac:dyDescent="0.15">
      <c r="A196" s="33">
        <f t="shared" si="5"/>
        <v>195</v>
      </c>
      <c r="B196" s="33">
        <v>2</v>
      </c>
      <c r="C196" s="33" t="str">
        <f>発注書!$C$3</f>
        <v>bb02787</v>
      </c>
      <c r="D196" s="33" t="str">
        <f>発注書!$D$3</f>
        <v>イルミナジョブ＆カレッジ千葉中央校</v>
      </c>
      <c r="E196" s="34" t="str">
        <f>発注書!$I$1</f>
        <v xml:space="preserve">2025年12月9日	</v>
      </c>
      <c r="F196" s="33" t="str">
        <f>発注書!H35</f>
        <v/>
      </c>
      <c r="G196" s="33" t="str">
        <f>発注書!I35</f>
        <v/>
      </c>
      <c r="H196" s="33">
        <f>発注書!J35</f>
        <v>0</v>
      </c>
      <c r="I196" s="33">
        <v>0</v>
      </c>
      <c r="J196" s="33" t="str">
        <f t="shared" si="6"/>
        <v/>
      </c>
      <c r="K196" s="33" t="e">
        <f>発注書!$I$5</f>
        <v>#N/A</v>
      </c>
    </row>
    <row r="197" spans="1:11" x14ac:dyDescent="0.15">
      <c r="A197" s="33">
        <f t="shared" si="5"/>
        <v>196</v>
      </c>
      <c r="B197" s="33">
        <v>2</v>
      </c>
      <c r="C197" s="33" t="str">
        <f>発注書!$C$3</f>
        <v>bb02787</v>
      </c>
      <c r="D197" s="33" t="str">
        <f>発注書!$D$3</f>
        <v>イルミナジョブ＆カレッジ千葉中央校</v>
      </c>
      <c r="E197" s="34" t="str">
        <f>発注書!$I$1</f>
        <v xml:space="preserve">2025年12月9日	</v>
      </c>
      <c r="F197" s="33" t="str">
        <f>発注書!H36</f>
        <v/>
      </c>
      <c r="G197" s="33" t="str">
        <f>発注書!I36</f>
        <v/>
      </c>
      <c r="H197" s="33">
        <f>発注書!J36</f>
        <v>0</v>
      </c>
      <c r="I197" s="33">
        <v>0</v>
      </c>
      <c r="J197" s="33" t="str">
        <f t="shared" si="6"/>
        <v/>
      </c>
      <c r="K197" s="33" t="e">
        <f>発注書!$I$5</f>
        <v>#N/A</v>
      </c>
    </row>
    <row r="198" spans="1:11" x14ac:dyDescent="0.15">
      <c r="A198" s="33">
        <f t="shared" si="5"/>
        <v>197</v>
      </c>
      <c r="B198" s="33">
        <v>2</v>
      </c>
      <c r="C198" s="33" t="str">
        <f>発注書!$C$3</f>
        <v>bb02787</v>
      </c>
      <c r="D198" s="33" t="str">
        <f>発注書!$D$3</f>
        <v>イルミナジョブ＆カレッジ千葉中央校</v>
      </c>
      <c r="E198" s="34" t="str">
        <f>発注書!$I$1</f>
        <v xml:space="preserve">2025年12月9日	</v>
      </c>
      <c r="F198" s="33" t="str">
        <f>発注書!H37</f>
        <v/>
      </c>
      <c r="G198" s="33" t="str">
        <f>発注書!I37</f>
        <v/>
      </c>
      <c r="H198" s="33">
        <f>発注書!J37</f>
        <v>0</v>
      </c>
      <c r="I198" s="33">
        <v>0</v>
      </c>
      <c r="J198" s="33" t="str">
        <f t="shared" si="6"/>
        <v/>
      </c>
      <c r="K198" s="33" t="e">
        <f>発注書!$I$5</f>
        <v>#N/A</v>
      </c>
    </row>
    <row r="199" spans="1:11" x14ac:dyDescent="0.15">
      <c r="A199" s="33">
        <f t="shared" si="5"/>
        <v>198</v>
      </c>
      <c r="B199" s="33">
        <v>2</v>
      </c>
      <c r="C199" s="33" t="str">
        <f>発注書!$C$3</f>
        <v>bb02787</v>
      </c>
      <c r="D199" s="33" t="str">
        <f>発注書!$D$3</f>
        <v>イルミナジョブ＆カレッジ千葉中央校</v>
      </c>
      <c r="E199" s="34" t="str">
        <f>発注書!$I$1</f>
        <v xml:space="preserve">2025年12月9日	</v>
      </c>
      <c r="F199" s="33" t="str">
        <f>発注書!H38</f>
        <v/>
      </c>
      <c r="G199" s="33" t="str">
        <f>発注書!I38</f>
        <v/>
      </c>
      <c r="H199" s="33">
        <f>発注書!J38</f>
        <v>0</v>
      </c>
      <c r="I199" s="33">
        <v>0</v>
      </c>
      <c r="J199" s="33" t="str">
        <f t="shared" si="6"/>
        <v/>
      </c>
      <c r="K199" s="33" t="e">
        <f>発注書!$I$5</f>
        <v>#N/A</v>
      </c>
    </row>
    <row r="200" spans="1:11" x14ac:dyDescent="0.15">
      <c r="A200" s="33">
        <f t="shared" si="5"/>
        <v>199</v>
      </c>
      <c r="B200" s="33">
        <v>2</v>
      </c>
      <c r="C200" s="33" t="str">
        <f>発注書!$C$3</f>
        <v>bb02787</v>
      </c>
      <c r="D200" s="33" t="str">
        <f>発注書!$D$3</f>
        <v>イルミナジョブ＆カレッジ千葉中央校</v>
      </c>
      <c r="E200" s="34" t="str">
        <f>発注書!$I$1</f>
        <v xml:space="preserve">2025年12月9日	</v>
      </c>
      <c r="F200" s="33" t="str">
        <f>発注書!H39</f>
        <v/>
      </c>
      <c r="G200" s="33" t="str">
        <f>発注書!I39</f>
        <v/>
      </c>
      <c r="H200" s="33">
        <f>発注書!J39</f>
        <v>0</v>
      </c>
      <c r="I200" s="33">
        <v>0</v>
      </c>
      <c r="J200" s="33" t="str">
        <f t="shared" si="6"/>
        <v/>
      </c>
      <c r="K200" s="33" t="e">
        <f>発注書!$I$5</f>
        <v>#N/A</v>
      </c>
    </row>
    <row r="201" spans="1:11" x14ac:dyDescent="0.15">
      <c r="A201" s="33">
        <f t="shared" si="5"/>
        <v>200</v>
      </c>
      <c r="B201" s="33">
        <v>2</v>
      </c>
      <c r="C201" s="33" t="str">
        <f>発注書!$C$3</f>
        <v>bb02787</v>
      </c>
      <c r="D201" s="33" t="str">
        <f>発注書!$D$3</f>
        <v>イルミナジョブ＆カレッジ千葉中央校</v>
      </c>
      <c r="E201" s="34" t="str">
        <f>発注書!$I$1</f>
        <v xml:space="preserve">2025年12月9日	</v>
      </c>
      <c r="F201" s="33" t="str">
        <f>発注書!H40</f>
        <v/>
      </c>
      <c r="G201" s="33" t="str">
        <f>発注書!I40</f>
        <v/>
      </c>
      <c r="H201" s="33">
        <f>発注書!J40</f>
        <v>0</v>
      </c>
      <c r="I201" s="33">
        <v>0</v>
      </c>
      <c r="J201" s="33" t="str">
        <f t="shared" si="6"/>
        <v/>
      </c>
      <c r="K201" s="33" t="e">
        <f>発注書!$I$5</f>
        <v>#N/A</v>
      </c>
    </row>
    <row r="202" spans="1:11" x14ac:dyDescent="0.15">
      <c r="A202" s="33">
        <f t="shared" si="5"/>
        <v>201</v>
      </c>
      <c r="B202" s="33">
        <v>2</v>
      </c>
      <c r="C202" s="33" t="str">
        <f>発注書!$C$3</f>
        <v>bb02787</v>
      </c>
      <c r="D202" s="33" t="str">
        <f>発注書!$D$3</f>
        <v>イルミナジョブ＆カレッジ千葉中央校</v>
      </c>
      <c r="E202" s="34" t="str">
        <f>発注書!$I$1</f>
        <v xml:space="preserve">2025年12月9日	</v>
      </c>
      <c r="F202" s="33" t="str">
        <f>発注書!H41</f>
        <v/>
      </c>
      <c r="G202" s="33" t="str">
        <f>発注書!I41</f>
        <v/>
      </c>
      <c r="H202" s="33">
        <f>発注書!J41</f>
        <v>0</v>
      </c>
      <c r="I202" s="33">
        <v>0</v>
      </c>
      <c r="J202" s="33" t="str">
        <f t="shared" si="6"/>
        <v/>
      </c>
      <c r="K202" s="33" t="e">
        <f>発注書!$I$5</f>
        <v>#N/A</v>
      </c>
    </row>
    <row r="203" spans="1:11" x14ac:dyDescent="0.15">
      <c r="A203" s="33">
        <f t="shared" si="5"/>
        <v>202</v>
      </c>
      <c r="B203" s="33">
        <v>2</v>
      </c>
      <c r="C203" s="33" t="str">
        <f>発注書!$C$3</f>
        <v>bb02787</v>
      </c>
      <c r="D203" s="33" t="str">
        <f>発注書!$D$3</f>
        <v>イルミナジョブ＆カレッジ千葉中央校</v>
      </c>
      <c r="E203" s="34" t="str">
        <f>発注書!$I$1</f>
        <v xml:space="preserve">2025年12月9日	</v>
      </c>
      <c r="F203" s="33" t="str">
        <f>発注書!H42</f>
        <v/>
      </c>
      <c r="G203" s="33" t="str">
        <f>発注書!I42</f>
        <v/>
      </c>
      <c r="H203" s="33">
        <f>発注書!J42</f>
        <v>0</v>
      </c>
      <c r="I203" s="33">
        <v>0</v>
      </c>
      <c r="J203" s="33" t="str">
        <f t="shared" si="6"/>
        <v/>
      </c>
      <c r="K203" s="33" t="e">
        <f>発注書!$I$5</f>
        <v>#N/A</v>
      </c>
    </row>
    <row r="204" spans="1:11" x14ac:dyDescent="0.15">
      <c r="A204" s="33">
        <f t="shared" si="5"/>
        <v>203</v>
      </c>
      <c r="B204" s="33">
        <v>2</v>
      </c>
      <c r="C204" s="33" t="str">
        <f>発注書!$C$3</f>
        <v>bb02787</v>
      </c>
      <c r="D204" s="33" t="str">
        <f>発注書!$D$3</f>
        <v>イルミナジョブ＆カレッジ千葉中央校</v>
      </c>
      <c r="E204" s="34" t="str">
        <f>発注書!$I$1</f>
        <v xml:space="preserve">2025年12月9日	</v>
      </c>
      <c r="F204" s="33" t="str">
        <f>発注書!H43</f>
        <v/>
      </c>
      <c r="G204" s="33" t="str">
        <f>発注書!I43</f>
        <v/>
      </c>
      <c r="H204" s="33">
        <f>発注書!J43</f>
        <v>0</v>
      </c>
      <c r="I204" s="33">
        <v>0</v>
      </c>
      <c r="J204" s="33" t="str">
        <f t="shared" si="6"/>
        <v/>
      </c>
      <c r="K204" s="33" t="e">
        <f>発注書!$I$5</f>
        <v>#N/A</v>
      </c>
    </row>
    <row r="205" spans="1:11" x14ac:dyDescent="0.15">
      <c r="A205" s="33">
        <f t="shared" si="5"/>
        <v>204</v>
      </c>
      <c r="B205" s="33">
        <v>2</v>
      </c>
      <c r="C205" s="33" t="str">
        <f>発注書!$C$3</f>
        <v>bb02787</v>
      </c>
      <c r="D205" s="33" t="str">
        <f>発注書!$D$3</f>
        <v>イルミナジョブ＆カレッジ千葉中央校</v>
      </c>
      <c r="E205" s="34" t="str">
        <f>発注書!$I$1</f>
        <v xml:space="preserve">2025年12月9日	</v>
      </c>
      <c r="F205" s="33" t="str">
        <f>発注書!H44</f>
        <v/>
      </c>
      <c r="G205" s="33" t="str">
        <f>発注書!I44</f>
        <v/>
      </c>
      <c r="H205" s="33">
        <f>発注書!J44</f>
        <v>0</v>
      </c>
      <c r="I205" s="33">
        <v>0</v>
      </c>
      <c r="J205" s="33" t="str">
        <f t="shared" si="6"/>
        <v/>
      </c>
      <c r="K205" s="33" t="e">
        <f>発注書!$I$5</f>
        <v>#N/A</v>
      </c>
    </row>
    <row r="206" spans="1:11" x14ac:dyDescent="0.15">
      <c r="A206" s="33">
        <f t="shared" si="5"/>
        <v>205</v>
      </c>
      <c r="B206" s="33">
        <v>2</v>
      </c>
      <c r="C206" s="33" t="str">
        <f>発注書!$C$3</f>
        <v>bb02787</v>
      </c>
      <c r="D206" s="33" t="str">
        <f>発注書!$D$3</f>
        <v>イルミナジョブ＆カレッジ千葉中央校</v>
      </c>
      <c r="E206" s="34" t="str">
        <f>発注書!$I$1</f>
        <v xml:space="preserve">2025年12月9日	</v>
      </c>
      <c r="F206" s="33" t="str">
        <f>発注書!H45</f>
        <v/>
      </c>
      <c r="G206" s="33" t="str">
        <f>発注書!I45</f>
        <v/>
      </c>
      <c r="H206" s="33">
        <f>発注書!J45</f>
        <v>0</v>
      </c>
      <c r="I206" s="33">
        <v>0</v>
      </c>
      <c r="J206" s="33" t="str">
        <f t="shared" si="6"/>
        <v/>
      </c>
      <c r="K206" s="33" t="e">
        <f>発注書!$I$5</f>
        <v>#N/A</v>
      </c>
    </row>
    <row r="207" spans="1:11" x14ac:dyDescent="0.15">
      <c r="A207" s="33">
        <f t="shared" si="5"/>
        <v>206</v>
      </c>
      <c r="B207" s="33">
        <v>2</v>
      </c>
      <c r="C207" s="33" t="str">
        <f>発注書!$C$3</f>
        <v>bb02787</v>
      </c>
      <c r="D207" s="33" t="str">
        <f>発注書!$D$3</f>
        <v>イルミナジョブ＆カレッジ千葉中央校</v>
      </c>
      <c r="E207" s="34" t="str">
        <f>発注書!$I$1</f>
        <v xml:space="preserve">2025年12月9日	</v>
      </c>
      <c r="F207" s="33" t="str">
        <f>発注書!H46</f>
        <v/>
      </c>
      <c r="G207" s="33" t="str">
        <f>発注書!I46</f>
        <v/>
      </c>
      <c r="H207" s="33">
        <f>発注書!J46</f>
        <v>0</v>
      </c>
      <c r="I207" s="33">
        <v>0</v>
      </c>
      <c r="J207" s="33" t="str">
        <f t="shared" si="6"/>
        <v/>
      </c>
      <c r="K207" s="33" t="e">
        <f>発注書!$I$5</f>
        <v>#N/A</v>
      </c>
    </row>
    <row r="208" spans="1:11" x14ac:dyDescent="0.15">
      <c r="A208" s="33">
        <f t="shared" si="5"/>
        <v>207</v>
      </c>
      <c r="B208" s="33">
        <v>2</v>
      </c>
      <c r="C208" s="33" t="str">
        <f>発注書!$C$3</f>
        <v>bb02787</v>
      </c>
      <c r="D208" s="33" t="str">
        <f>発注書!$D$3</f>
        <v>イルミナジョブ＆カレッジ千葉中央校</v>
      </c>
      <c r="E208" s="34" t="str">
        <f>発注書!$I$1</f>
        <v xml:space="preserve">2025年12月9日	</v>
      </c>
      <c r="F208" s="33" t="str">
        <f>発注書!H47</f>
        <v/>
      </c>
      <c r="G208" s="33" t="str">
        <f>発注書!I47</f>
        <v/>
      </c>
      <c r="H208" s="33">
        <f>発注書!J47</f>
        <v>0</v>
      </c>
      <c r="I208" s="33">
        <v>0</v>
      </c>
      <c r="J208" s="33" t="str">
        <f t="shared" si="6"/>
        <v/>
      </c>
      <c r="K208" s="33" t="e">
        <f>発注書!$I$5</f>
        <v>#N/A</v>
      </c>
    </row>
    <row r="209" spans="1:11" x14ac:dyDescent="0.15">
      <c r="A209" s="33">
        <f t="shared" si="5"/>
        <v>208</v>
      </c>
      <c r="B209" s="33">
        <v>2</v>
      </c>
      <c r="C209" s="33" t="str">
        <f>発注書!$C$3</f>
        <v>bb02787</v>
      </c>
      <c r="D209" s="33" t="str">
        <f>発注書!$D$3</f>
        <v>イルミナジョブ＆カレッジ千葉中央校</v>
      </c>
      <c r="E209" s="34" t="str">
        <f>発注書!$I$1</f>
        <v xml:space="preserve">2025年12月9日	</v>
      </c>
      <c r="F209" s="33" t="str">
        <f>発注書!H48</f>
        <v/>
      </c>
      <c r="G209" s="33" t="str">
        <f>発注書!I48</f>
        <v/>
      </c>
      <c r="H209" s="33">
        <f>発注書!J48</f>
        <v>0</v>
      </c>
      <c r="I209" s="33">
        <v>0</v>
      </c>
      <c r="J209" s="33" t="str">
        <f t="shared" si="6"/>
        <v/>
      </c>
      <c r="K209" s="33" t="e">
        <f>発注書!$I$5</f>
        <v>#N/A</v>
      </c>
    </row>
    <row r="210" spans="1:11" x14ac:dyDescent="0.15">
      <c r="A210" s="33">
        <f t="shared" si="5"/>
        <v>209</v>
      </c>
      <c r="B210" s="33">
        <v>2</v>
      </c>
      <c r="C210" s="33" t="str">
        <f>発注書!$C$3</f>
        <v>bb02787</v>
      </c>
      <c r="D210" s="33" t="str">
        <f>発注書!$D$3</f>
        <v>イルミナジョブ＆カレッジ千葉中央校</v>
      </c>
      <c r="E210" s="34" t="str">
        <f>発注書!$I$1</f>
        <v xml:space="preserve">2025年12月9日	</v>
      </c>
      <c r="F210" s="33" t="str">
        <f>発注書!H49</f>
        <v/>
      </c>
      <c r="G210" s="33" t="str">
        <f>発注書!I49</f>
        <v/>
      </c>
      <c r="H210" s="33">
        <f>発注書!J49</f>
        <v>0</v>
      </c>
      <c r="I210" s="33">
        <v>0</v>
      </c>
      <c r="J210" s="33" t="str">
        <f t="shared" si="6"/>
        <v/>
      </c>
      <c r="K210" s="33" t="e">
        <f>発注書!$I$5</f>
        <v>#N/A</v>
      </c>
    </row>
    <row r="211" spans="1:11" x14ac:dyDescent="0.15">
      <c r="A211" s="33">
        <f t="shared" si="5"/>
        <v>210</v>
      </c>
      <c r="B211" s="33">
        <v>2</v>
      </c>
      <c r="C211" s="33" t="str">
        <f>発注書!$C$3</f>
        <v>bb02787</v>
      </c>
      <c r="D211" s="33" t="str">
        <f>発注書!$D$3</f>
        <v>イルミナジョブ＆カレッジ千葉中央校</v>
      </c>
      <c r="E211" s="34" t="str">
        <f>発注書!$I$1</f>
        <v xml:space="preserve">2025年12月9日	</v>
      </c>
      <c r="F211" s="33" t="str">
        <f>発注書!H50</f>
        <v/>
      </c>
      <c r="G211" s="33" t="str">
        <f>発注書!I50</f>
        <v/>
      </c>
      <c r="H211" s="33">
        <f>発注書!J50</f>
        <v>0</v>
      </c>
      <c r="I211" s="33">
        <v>0</v>
      </c>
      <c r="J211" s="33" t="str">
        <f t="shared" si="6"/>
        <v/>
      </c>
      <c r="K211" s="33" t="e">
        <f>発注書!$I$5</f>
        <v>#N/A</v>
      </c>
    </row>
    <row r="212" spans="1:11" x14ac:dyDescent="0.15">
      <c r="A212" s="33">
        <f t="shared" si="5"/>
        <v>211</v>
      </c>
      <c r="B212" s="33">
        <v>2</v>
      </c>
      <c r="C212" s="33" t="str">
        <f>発注書!$C$3</f>
        <v>bb02787</v>
      </c>
      <c r="D212" s="33" t="str">
        <f>発注書!$D$3</f>
        <v>イルミナジョブ＆カレッジ千葉中央校</v>
      </c>
      <c r="E212" s="34" t="str">
        <f>発注書!$I$1</f>
        <v xml:space="preserve">2025年12月9日	</v>
      </c>
      <c r="F212" s="33" t="str">
        <f>発注書!H51</f>
        <v/>
      </c>
      <c r="G212" s="33" t="str">
        <f>発注書!I51</f>
        <v/>
      </c>
      <c r="H212" s="33">
        <f>発注書!J51</f>
        <v>0</v>
      </c>
      <c r="I212" s="33">
        <v>0</v>
      </c>
      <c r="J212" s="33" t="str">
        <f t="shared" si="6"/>
        <v/>
      </c>
      <c r="K212" s="33" t="e">
        <f>発注書!$I$5</f>
        <v>#N/A</v>
      </c>
    </row>
    <row r="213" spans="1:11" x14ac:dyDescent="0.15">
      <c r="A213" s="33">
        <f t="shared" si="5"/>
        <v>212</v>
      </c>
      <c r="B213" s="33">
        <v>2</v>
      </c>
      <c r="C213" s="33" t="str">
        <f>発注書!$C$3</f>
        <v>bb02787</v>
      </c>
      <c r="D213" s="33" t="str">
        <f>発注書!$D$3</f>
        <v>イルミナジョブ＆カレッジ千葉中央校</v>
      </c>
      <c r="E213" s="34" t="str">
        <f>発注書!$I$1</f>
        <v xml:space="preserve">2025年12月9日	</v>
      </c>
      <c r="F213" s="33" t="str">
        <f>発注書!H52</f>
        <v/>
      </c>
      <c r="G213" s="33" t="str">
        <f>発注書!I52</f>
        <v/>
      </c>
      <c r="H213" s="33">
        <f>発注書!J52</f>
        <v>0</v>
      </c>
      <c r="I213" s="33">
        <v>0</v>
      </c>
      <c r="J213" s="33" t="str">
        <f t="shared" si="6"/>
        <v/>
      </c>
      <c r="K213" s="33" t="e">
        <f>発注書!$I$5</f>
        <v>#N/A</v>
      </c>
    </row>
    <row r="214" spans="1:11" x14ac:dyDescent="0.15">
      <c r="A214" s="33">
        <f t="shared" si="5"/>
        <v>213</v>
      </c>
      <c r="B214" s="33">
        <v>2</v>
      </c>
      <c r="C214" s="33" t="str">
        <f>発注書!$C$3</f>
        <v>bb02787</v>
      </c>
      <c r="D214" s="33" t="str">
        <f>発注書!$D$3</f>
        <v>イルミナジョブ＆カレッジ千葉中央校</v>
      </c>
      <c r="E214" s="34" t="str">
        <f>発注書!$I$1</f>
        <v xml:space="preserve">2025年12月9日	</v>
      </c>
      <c r="F214" s="33" t="str">
        <f>発注書!H53</f>
        <v/>
      </c>
      <c r="G214" s="33" t="str">
        <f>発注書!I53</f>
        <v/>
      </c>
      <c r="H214" s="33">
        <f>発注書!J53</f>
        <v>0</v>
      </c>
      <c r="I214" s="33">
        <v>0</v>
      </c>
      <c r="J214" s="33" t="str">
        <f t="shared" si="6"/>
        <v/>
      </c>
      <c r="K214" s="33" t="e">
        <f>発注書!$I$5</f>
        <v>#N/A</v>
      </c>
    </row>
    <row r="215" spans="1:11" x14ac:dyDescent="0.15">
      <c r="A215" s="33">
        <f t="shared" si="5"/>
        <v>214</v>
      </c>
      <c r="B215" s="33">
        <v>2</v>
      </c>
      <c r="C215" s="33" t="str">
        <f>発注書!$C$3</f>
        <v>bb02787</v>
      </c>
      <c r="D215" s="33" t="str">
        <f>発注書!$D$3</f>
        <v>イルミナジョブ＆カレッジ千葉中央校</v>
      </c>
      <c r="E215" s="34" t="str">
        <f>発注書!$I$1</f>
        <v xml:space="preserve">2025年12月9日	</v>
      </c>
      <c r="F215" s="33" t="str">
        <f>発注書!H54</f>
        <v/>
      </c>
      <c r="G215" s="33" t="str">
        <f>発注書!I54</f>
        <v/>
      </c>
      <c r="H215" s="33">
        <f>発注書!J54</f>
        <v>0</v>
      </c>
      <c r="I215" s="33">
        <v>0</v>
      </c>
      <c r="J215" s="33" t="str">
        <f t="shared" si="6"/>
        <v/>
      </c>
      <c r="K215" s="33" t="e">
        <f>発注書!$I$5</f>
        <v>#N/A</v>
      </c>
    </row>
    <row r="216" spans="1:11" x14ac:dyDescent="0.15">
      <c r="A216" s="33">
        <f t="shared" si="5"/>
        <v>215</v>
      </c>
      <c r="B216" s="33">
        <v>2</v>
      </c>
      <c r="C216" s="33" t="str">
        <f>発注書!$C$3</f>
        <v>bb02787</v>
      </c>
      <c r="D216" s="33" t="str">
        <f>発注書!$D$3</f>
        <v>イルミナジョブ＆カレッジ千葉中央校</v>
      </c>
      <c r="E216" s="34" t="str">
        <f>発注書!$I$1</f>
        <v xml:space="preserve">2025年12月9日	</v>
      </c>
      <c r="F216" s="33" t="str">
        <f>発注書!H55</f>
        <v/>
      </c>
      <c r="G216" s="33" t="str">
        <f>発注書!I55</f>
        <v/>
      </c>
      <c r="H216" s="33">
        <f>発注書!J55</f>
        <v>0</v>
      </c>
      <c r="I216" s="33">
        <v>0</v>
      </c>
      <c r="J216" s="33" t="str">
        <f t="shared" si="6"/>
        <v/>
      </c>
      <c r="K216" s="33" t="e">
        <f>発注書!$I$5</f>
        <v>#N/A</v>
      </c>
    </row>
    <row r="217" spans="1:11" x14ac:dyDescent="0.15">
      <c r="A217" s="33">
        <f t="shared" si="5"/>
        <v>216</v>
      </c>
      <c r="B217" s="33">
        <v>2</v>
      </c>
      <c r="C217" s="33" t="str">
        <f>発注書!$C$3</f>
        <v>bb02787</v>
      </c>
      <c r="D217" s="33" t="str">
        <f>発注書!$D$3</f>
        <v>イルミナジョブ＆カレッジ千葉中央校</v>
      </c>
      <c r="E217" s="34" t="str">
        <f>発注書!$I$1</f>
        <v xml:space="preserve">2025年12月9日	</v>
      </c>
      <c r="F217" s="33" t="str">
        <f>発注書!H56</f>
        <v/>
      </c>
      <c r="G217" s="33" t="str">
        <f>発注書!I56</f>
        <v/>
      </c>
      <c r="H217" s="33">
        <f>発注書!J56</f>
        <v>0</v>
      </c>
      <c r="I217" s="33">
        <v>0</v>
      </c>
      <c r="J217" s="33" t="str">
        <f t="shared" si="6"/>
        <v/>
      </c>
      <c r="K217" s="33" t="e">
        <f>発注書!$I$5</f>
        <v>#N/A</v>
      </c>
    </row>
    <row r="218" spans="1:11" x14ac:dyDescent="0.15">
      <c r="A218" s="33">
        <f t="shared" si="5"/>
        <v>217</v>
      </c>
      <c r="B218" s="33">
        <v>2</v>
      </c>
      <c r="C218" s="33" t="str">
        <f>発注書!$C$3</f>
        <v>bb02787</v>
      </c>
      <c r="D218" s="33" t="str">
        <f>発注書!$D$3</f>
        <v>イルミナジョブ＆カレッジ千葉中央校</v>
      </c>
      <c r="E218" s="34" t="str">
        <f>発注書!$I$1</f>
        <v xml:space="preserve">2025年12月9日	</v>
      </c>
      <c r="F218" s="33" t="str">
        <f>発注書!H57</f>
        <v/>
      </c>
      <c r="G218" s="33" t="str">
        <f>発注書!I57</f>
        <v/>
      </c>
      <c r="H218" s="33">
        <f>発注書!J57</f>
        <v>0</v>
      </c>
      <c r="I218" s="33">
        <v>0</v>
      </c>
      <c r="J218" s="33" t="str">
        <f t="shared" si="6"/>
        <v/>
      </c>
      <c r="K218" s="33" t="e">
        <f>発注書!$I$5</f>
        <v>#N/A</v>
      </c>
    </row>
    <row r="219" spans="1:11" x14ac:dyDescent="0.15">
      <c r="A219" s="33">
        <f t="shared" si="5"/>
        <v>218</v>
      </c>
      <c r="B219" s="33">
        <v>2</v>
      </c>
      <c r="C219" s="33" t="str">
        <f>発注書!$C$3</f>
        <v>bb02787</v>
      </c>
      <c r="D219" s="33" t="str">
        <f>発注書!$D$3</f>
        <v>イルミナジョブ＆カレッジ千葉中央校</v>
      </c>
      <c r="E219" s="34" t="str">
        <f>発注書!$I$1</f>
        <v xml:space="preserve">2025年12月9日	</v>
      </c>
      <c r="F219" s="33" t="str">
        <f>発注書!H58</f>
        <v/>
      </c>
      <c r="G219" s="33" t="str">
        <f>発注書!I58</f>
        <v/>
      </c>
      <c r="H219" s="33">
        <f>発注書!J58</f>
        <v>0</v>
      </c>
      <c r="I219" s="33">
        <v>0</v>
      </c>
      <c r="J219" s="33" t="str">
        <f t="shared" si="6"/>
        <v/>
      </c>
      <c r="K219" s="33" t="e">
        <f>発注書!$I$5</f>
        <v>#N/A</v>
      </c>
    </row>
    <row r="220" spans="1:11" x14ac:dyDescent="0.15">
      <c r="A220" s="33">
        <f t="shared" si="5"/>
        <v>219</v>
      </c>
      <c r="B220" s="33">
        <v>2</v>
      </c>
      <c r="C220" s="33" t="str">
        <f>発注書!$C$3</f>
        <v>bb02787</v>
      </c>
      <c r="D220" s="33" t="str">
        <f>発注書!$D$3</f>
        <v>イルミナジョブ＆カレッジ千葉中央校</v>
      </c>
      <c r="E220" s="34" t="str">
        <f>発注書!$I$1</f>
        <v xml:space="preserve">2025年12月9日	</v>
      </c>
      <c r="F220" s="33" t="str">
        <f>発注書!H59</f>
        <v/>
      </c>
      <c r="G220" s="33" t="str">
        <f>発注書!I59</f>
        <v/>
      </c>
      <c r="H220" s="33">
        <f>発注書!J59</f>
        <v>0</v>
      </c>
      <c r="I220" s="33">
        <v>0</v>
      </c>
      <c r="J220" s="33" t="str">
        <f t="shared" si="6"/>
        <v/>
      </c>
      <c r="K220" s="33" t="e">
        <f>発注書!$I$5</f>
        <v>#N/A</v>
      </c>
    </row>
    <row r="221" spans="1:11" x14ac:dyDescent="0.15">
      <c r="A221" s="33">
        <f t="shared" si="5"/>
        <v>220</v>
      </c>
      <c r="B221" s="33">
        <v>2</v>
      </c>
      <c r="C221" s="33" t="str">
        <f>発注書!$C$3</f>
        <v>bb02787</v>
      </c>
      <c r="D221" s="33" t="str">
        <f>発注書!$D$3</f>
        <v>イルミナジョブ＆カレッジ千葉中央校</v>
      </c>
      <c r="E221" s="34" t="str">
        <f>発注書!$I$1</f>
        <v xml:space="preserve">2025年12月9日	</v>
      </c>
      <c r="F221" s="33" t="str">
        <f>発注書!H60</f>
        <v/>
      </c>
      <c r="G221" s="33" t="str">
        <f>発注書!I60</f>
        <v/>
      </c>
      <c r="H221" s="33">
        <f>発注書!J60</f>
        <v>0</v>
      </c>
      <c r="I221" s="33">
        <v>0</v>
      </c>
      <c r="J221" s="33" t="str">
        <f t="shared" si="6"/>
        <v/>
      </c>
      <c r="K221" s="33" t="e">
        <f>発注書!$I$5</f>
        <v>#N/A</v>
      </c>
    </row>
    <row r="222" spans="1:11" x14ac:dyDescent="0.15">
      <c r="A222" s="33">
        <f t="shared" si="5"/>
        <v>221</v>
      </c>
      <c r="B222" s="33">
        <v>2</v>
      </c>
      <c r="C222" s="33" t="str">
        <f>発注書!$C$3</f>
        <v>bb02787</v>
      </c>
      <c r="D222" s="33" t="str">
        <f>発注書!$D$3</f>
        <v>イルミナジョブ＆カレッジ千葉中央校</v>
      </c>
      <c r="E222" s="34" t="str">
        <f>発注書!$I$1</f>
        <v xml:space="preserve">2025年12月9日	</v>
      </c>
      <c r="F222" s="33" t="str">
        <f>発注書!H61</f>
        <v/>
      </c>
      <c r="G222" s="33" t="str">
        <f>発注書!I61</f>
        <v/>
      </c>
      <c r="H222" s="33">
        <f>発注書!J61</f>
        <v>0</v>
      </c>
      <c r="I222" s="33">
        <v>0</v>
      </c>
      <c r="J222" s="33" t="str">
        <f t="shared" si="6"/>
        <v/>
      </c>
      <c r="K222" s="33" t="e">
        <f>発注書!$I$5</f>
        <v>#N/A</v>
      </c>
    </row>
    <row r="223" spans="1:11" x14ac:dyDescent="0.15">
      <c r="A223" s="33">
        <f t="shared" si="5"/>
        <v>222</v>
      </c>
      <c r="B223" s="33">
        <v>2</v>
      </c>
      <c r="C223" s="33" t="str">
        <f>発注書!$C$3</f>
        <v>bb02787</v>
      </c>
      <c r="D223" s="33" t="str">
        <f>発注書!$D$3</f>
        <v>イルミナジョブ＆カレッジ千葉中央校</v>
      </c>
      <c r="E223" s="34" t="str">
        <f>発注書!$I$1</f>
        <v xml:space="preserve">2025年12月9日	</v>
      </c>
      <c r="F223" s="33" t="str">
        <f>発注書!H62</f>
        <v/>
      </c>
      <c r="G223" s="33" t="str">
        <f>発注書!I62</f>
        <v/>
      </c>
      <c r="H223" s="33">
        <f>発注書!J62</f>
        <v>0</v>
      </c>
      <c r="I223" s="33">
        <v>0</v>
      </c>
      <c r="J223" s="33" t="str">
        <f t="shared" si="6"/>
        <v/>
      </c>
      <c r="K223" s="33" t="e">
        <f>発注書!$I$5</f>
        <v>#N/A</v>
      </c>
    </row>
    <row r="224" spans="1:11" x14ac:dyDescent="0.15">
      <c r="A224" s="33">
        <f t="shared" si="5"/>
        <v>223</v>
      </c>
      <c r="B224" s="33">
        <v>2</v>
      </c>
      <c r="C224" s="33" t="str">
        <f>発注書!$C$3</f>
        <v>bb02787</v>
      </c>
      <c r="D224" s="33" t="str">
        <f>発注書!$D$3</f>
        <v>イルミナジョブ＆カレッジ千葉中央校</v>
      </c>
      <c r="E224" s="34" t="str">
        <f>発注書!$I$1</f>
        <v xml:space="preserve">2025年12月9日	</v>
      </c>
      <c r="F224" s="33" t="str">
        <f>発注書!H63</f>
        <v/>
      </c>
      <c r="G224" s="33" t="str">
        <f>発注書!I63</f>
        <v/>
      </c>
      <c r="H224" s="33">
        <f>発注書!J63</f>
        <v>0</v>
      </c>
      <c r="I224" s="33">
        <v>0</v>
      </c>
      <c r="J224" s="33" t="str">
        <f t="shared" si="6"/>
        <v/>
      </c>
      <c r="K224" s="33" t="e">
        <f>発注書!$I$5</f>
        <v>#N/A</v>
      </c>
    </row>
    <row r="225" spans="1:11" x14ac:dyDescent="0.15">
      <c r="A225" s="33">
        <f t="shared" si="5"/>
        <v>224</v>
      </c>
      <c r="B225" s="33">
        <v>2</v>
      </c>
      <c r="C225" s="33" t="str">
        <f>発注書!$C$3</f>
        <v>bb02787</v>
      </c>
      <c r="D225" s="33" t="str">
        <f>発注書!$D$3</f>
        <v>イルミナジョブ＆カレッジ千葉中央校</v>
      </c>
      <c r="E225" s="34" t="str">
        <f>発注書!$I$1</f>
        <v xml:space="preserve">2025年12月9日	</v>
      </c>
      <c r="F225" s="33" t="str">
        <f>発注書!H64</f>
        <v/>
      </c>
      <c r="G225" s="33" t="str">
        <f>発注書!I64</f>
        <v/>
      </c>
      <c r="H225" s="33">
        <f>発注書!J64</f>
        <v>0</v>
      </c>
      <c r="I225" s="33">
        <v>0</v>
      </c>
      <c r="J225" s="33" t="str">
        <f t="shared" si="6"/>
        <v/>
      </c>
      <c r="K225" s="33" t="e">
        <f>発注書!$I$5</f>
        <v>#N/A</v>
      </c>
    </row>
    <row r="226" spans="1:11" x14ac:dyDescent="0.15">
      <c r="A226" s="33">
        <f t="shared" si="5"/>
        <v>225</v>
      </c>
      <c r="B226" s="33">
        <v>2</v>
      </c>
      <c r="C226" s="33" t="str">
        <f>発注書!$C$3</f>
        <v>bb02787</v>
      </c>
      <c r="D226" s="33" t="str">
        <f>発注書!$D$3</f>
        <v>イルミナジョブ＆カレッジ千葉中央校</v>
      </c>
      <c r="E226" s="34" t="str">
        <f>発注書!$I$1</f>
        <v xml:space="preserve">2025年12月9日	</v>
      </c>
      <c r="F226" s="33" t="str">
        <f>発注書!H65</f>
        <v/>
      </c>
      <c r="G226" s="33" t="str">
        <f>発注書!I65</f>
        <v/>
      </c>
      <c r="H226" s="33">
        <f>発注書!J65</f>
        <v>0</v>
      </c>
      <c r="I226" s="33">
        <v>0</v>
      </c>
      <c r="J226" s="33" t="str">
        <f t="shared" si="6"/>
        <v/>
      </c>
      <c r="K226" s="33" t="e">
        <f>発注書!$I$5</f>
        <v>#N/A</v>
      </c>
    </row>
    <row r="227" spans="1:11" x14ac:dyDescent="0.15">
      <c r="A227" s="33">
        <f t="shared" si="5"/>
        <v>226</v>
      </c>
      <c r="B227" s="33">
        <v>2</v>
      </c>
      <c r="C227" s="33" t="str">
        <f>発注書!$C$3</f>
        <v>bb02787</v>
      </c>
      <c r="D227" s="33" t="str">
        <f>発注書!$D$3</f>
        <v>イルミナジョブ＆カレッジ千葉中央校</v>
      </c>
      <c r="E227" s="34" t="str">
        <f>発注書!$I$1</f>
        <v xml:space="preserve">2025年12月9日	</v>
      </c>
      <c r="F227" s="33" t="str">
        <f>発注書!H66</f>
        <v/>
      </c>
      <c r="G227" s="33" t="str">
        <f>発注書!I66</f>
        <v/>
      </c>
      <c r="H227" s="33">
        <f>発注書!J66</f>
        <v>0</v>
      </c>
      <c r="I227" s="33">
        <v>0</v>
      </c>
      <c r="J227" s="33" t="str">
        <f t="shared" si="6"/>
        <v/>
      </c>
      <c r="K227" s="33" t="e">
        <f>発注書!$I$5</f>
        <v>#N/A</v>
      </c>
    </row>
    <row r="228" spans="1:11" x14ac:dyDescent="0.15">
      <c r="A228" s="33">
        <f t="shared" si="5"/>
        <v>227</v>
      </c>
      <c r="B228" s="33">
        <v>2</v>
      </c>
      <c r="C228" s="33" t="str">
        <f>発注書!$C$3</f>
        <v>bb02787</v>
      </c>
      <c r="D228" s="33" t="str">
        <f>発注書!$D$3</f>
        <v>イルミナジョブ＆カレッジ千葉中央校</v>
      </c>
      <c r="E228" s="34" t="str">
        <f>発注書!$I$1</f>
        <v xml:space="preserve">2025年12月9日	</v>
      </c>
      <c r="F228" s="33" t="str">
        <f>発注書!H67</f>
        <v/>
      </c>
      <c r="G228" s="33" t="str">
        <f>発注書!I67</f>
        <v/>
      </c>
      <c r="H228" s="33">
        <f>発注書!J67</f>
        <v>0</v>
      </c>
      <c r="I228" s="33">
        <v>0</v>
      </c>
      <c r="J228" s="33" t="str">
        <f t="shared" si="6"/>
        <v/>
      </c>
      <c r="K228" s="33" t="e">
        <f>発注書!$I$5</f>
        <v>#N/A</v>
      </c>
    </row>
    <row r="229" spans="1:11" x14ac:dyDescent="0.15">
      <c r="A229" s="33">
        <f t="shared" si="5"/>
        <v>228</v>
      </c>
      <c r="B229" s="33">
        <v>2</v>
      </c>
      <c r="C229" s="33" t="str">
        <f>発注書!$C$3</f>
        <v>bb02787</v>
      </c>
      <c r="D229" s="33" t="str">
        <f>発注書!$D$3</f>
        <v>イルミナジョブ＆カレッジ千葉中央校</v>
      </c>
      <c r="E229" s="34" t="str">
        <f>発注書!$I$1</f>
        <v xml:space="preserve">2025年12月9日	</v>
      </c>
      <c r="F229" s="33" t="str">
        <f>発注書!H68</f>
        <v/>
      </c>
      <c r="G229" s="33" t="str">
        <f>発注書!I68</f>
        <v/>
      </c>
      <c r="H229" s="33">
        <f>発注書!J68</f>
        <v>0</v>
      </c>
      <c r="I229" s="33">
        <v>0</v>
      </c>
      <c r="J229" s="33" t="str">
        <f t="shared" si="6"/>
        <v/>
      </c>
      <c r="K229" s="33" t="e">
        <f>発注書!$I$5</f>
        <v>#N/A</v>
      </c>
    </row>
    <row r="230" spans="1:11" x14ac:dyDescent="0.15">
      <c r="A230" s="33">
        <f t="shared" si="5"/>
        <v>229</v>
      </c>
      <c r="B230" s="33">
        <v>2</v>
      </c>
      <c r="C230" s="33" t="str">
        <f>発注書!$C$3</f>
        <v>bb02787</v>
      </c>
      <c r="D230" s="33" t="str">
        <f>発注書!$D$3</f>
        <v>イルミナジョブ＆カレッジ千葉中央校</v>
      </c>
      <c r="E230" s="34" t="str">
        <f>発注書!$I$1</f>
        <v xml:space="preserve">2025年12月9日	</v>
      </c>
      <c r="F230" s="33" t="str">
        <f>発注書!H69</f>
        <v/>
      </c>
      <c r="G230" s="33" t="str">
        <f>発注書!I69</f>
        <v/>
      </c>
      <c r="H230" s="33">
        <f>発注書!J69</f>
        <v>0</v>
      </c>
      <c r="I230" s="33">
        <v>0</v>
      </c>
      <c r="J230" s="33" t="str">
        <f t="shared" si="6"/>
        <v/>
      </c>
      <c r="K230" s="33" t="e">
        <f>発注書!$I$5</f>
        <v>#N/A</v>
      </c>
    </row>
    <row r="231" spans="1:11" x14ac:dyDescent="0.15">
      <c r="A231" s="33">
        <f t="shared" si="5"/>
        <v>230</v>
      </c>
      <c r="B231" s="33">
        <v>2</v>
      </c>
      <c r="C231" s="33" t="str">
        <f>発注書!$C$3</f>
        <v>bb02787</v>
      </c>
      <c r="D231" s="33" t="str">
        <f>発注書!$D$3</f>
        <v>イルミナジョブ＆カレッジ千葉中央校</v>
      </c>
      <c r="E231" s="34" t="str">
        <f>発注書!$I$1</f>
        <v xml:space="preserve">2025年12月9日	</v>
      </c>
      <c r="F231" s="33" t="str">
        <f>発注書!H70</f>
        <v/>
      </c>
      <c r="G231" s="33" t="str">
        <f>発注書!I70</f>
        <v/>
      </c>
      <c r="H231" s="33">
        <f>発注書!J70</f>
        <v>0</v>
      </c>
      <c r="I231" s="33">
        <v>0</v>
      </c>
      <c r="J231" s="33" t="str">
        <f t="shared" si="6"/>
        <v/>
      </c>
      <c r="K231" s="33" t="e">
        <f>発注書!$I$5</f>
        <v>#N/A</v>
      </c>
    </row>
    <row r="232" spans="1:11" x14ac:dyDescent="0.15">
      <c r="A232" s="33">
        <f t="shared" si="5"/>
        <v>231</v>
      </c>
      <c r="B232" s="33">
        <v>2</v>
      </c>
      <c r="C232" s="33" t="str">
        <f>発注書!$C$3</f>
        <v>bb02787</v>
      </c>
      <c r="D232" s="33" t="str">
        <f>発注書!$D$3</f>
        <v>イルミナジョブ＆カレッジ千葉中央校</v>
      </c>
      <c r="E232" s="34" t="str">
        <f>発注書!$I$1</f>
        <v xml:space="preserve">2025年12月9日	</v>
      </c>
      <c r="F232" s="33" t="str">
        <f>発注書!H71</f>
        <v/>
      </c>
      <c r="G232" s="33" t="str">
        <f>発注書!I71</f>
        <v/>
      </c>
      <c r="H232" s="33">
        <f>発注書!J71</f>
        <v>0</v>
      </c>
      <c r="I232" s="33">
        <v>0</v>
      </c>
      <c r="J232" s="33" t="str">
        <f t="shared" si="6"/>
        <v/>
      </c>
      <c r="K232" s="33" t="e">
        <f>発注書!$I$5</f>
        <v>#N/A</v>
      </c>
    </row>
    <row r="233" spans="1:11" x14ac:dyDescent="0.15">
      <c r="A233" s="33">
        <f t="shared" si="5"/>
        <v>232</v>
      </c>
      <c r="B233" s="33">
        <v>2</v>
      </c>
      <c r="C233" s="33" t="str">
        <f>発注書!$C$3</f>
        <v>bb02787</v>
      </c>
      <c r="D233" s="33" t="str">
        <f>発注書!$D$3</f>
        <v>イルミナジョブ＆カレッジ千葉中央校</v>
      </c>
      <c r="E233" s="34" t="str">
        <f>発注書!$I$1</f>
        <v xml:space="preserve">2025年12月9日	</v>
      </c>
      <c r="F233" s="33" t="str">
        <f>発注書!H72</f>
        <v/>
      </c>
      <c r="G233" s="33" t="str">
        <f>発注書!I72</f>
        <v/>
      </c>
      <c r="H233" s="33">
        <f>発注書!J72</f>
        <v>0</v>
      </c>
      <c r="I233" s="33">
        <v>0</v>
      </c>
      <c r="J233" s="33" t="str">
        <f t="shared" si="6"/>
        <v/>
      </c>
      <c r="K233" s="33" t="e">
        <f>発注書!$I$5</f>
        <v>#N/A</v>
      </c>
    </row>
    <row r="234" spans="1:11" x14ac:dyDescent="0.15">
      <c r="A234" s="33">
        <f t="shared" si="5"/>
        <v>233</v>
      </c>
      <c r="B234" s="33">
        <v>2</v>
      </c>
      <c r="C234" s="33" t="str">
        <f>発注書!$C$3</f>
        <v>bb02787</v>
      </c>
      <c r="D234" s="33" t="str">
        <f>発注書!$D$3</f>
        <v>イルミナジョブ＆カレッジ千葉中央校</v>
      </c>
      <c r="E234" s="34" t="str">
        <f>発注書!$I$1</f>
        <v xml:space="preserve">2025年12月9日	</v>
      </c>
      <c r="F234" s="33" t="str">
        <f>発注書!H73</f>
        <v/>
      </c>
      <c r="G234" s="33" t="str">
        <f>発注書!I73</f>
        <v/>
      </c>
      <c r="H234" s="33">
        <f>発注書!J73</f>
        <v>0</v>
      </c>
      <c r="I234" s="33">
        <v>0</v>
      </c>
      <c r="J234" s="33" t="str">
        <f t="shared" si="6"/>
        <v/>
      </c>
      <c r="K234" s="33" t="e">
        <f>発注書!$I$5</f>
        <v>#N/A</v>
      </c>
    </row>
    <row r="235" spans="1:11" x14ac:dyDescent="0.15">
      <c r="A235" s="33">
        <f t="shared" si="5"/>
        <v>234</v>
      </c>
      <c r="B235" s="33">
        <v>2</v>
      </c>
      <c r="C235" s="33" t="str">
        <f>発注書!$C$3</f>
        <v>bb02787</v>
      </c>
      <c r="D235" s="33" t="str">
        <f>発注書!$D$3</f>
        <v>イルミナジョブ＆カレッジ千葉中央校</v>
      </c>
      <c r="E235" s="34" t="str">
        <f>発注書!$I$1</f>
        <v xml:space="preserve">2025年12月9日	</v>
      </c>
      <c r="F235" s="33" t="str">
        <f>発注書!H74</f>
        <v/>
      </c>
      <c r="G235" s="33" t="str">
        <f>発注書!I74</f>
        <v/>
      </c>
      <c r="H235" s="33">
        <f>発注書!J74</f>
        <v>0</v>
      </c>
      <c r="I235" s="33">
        <v>0</v>
      </c>
      <c r="J235" s="33" t="str">
        <f t="shared" si="6"/>
        <v/>
      </c>
      <c r="K235" s="33" t="e">
        <f>発注書!$I$5</f>
        <v>#N/A</v>
      </c>
    </row>
    <row r="236" spans="1:11" x14ac:dyDescent="0.15">
      <c r="A236" s="33">
        <f t="shared" si="5"/>
        <v>235</v>
      </c>
      <c r="B236" s="33">
        <v>2</v>
      </c>
      <c r="C236" s="33" t="str">
        <f>発注書!$C$3</f>
        <v>bb02787</v>
      </c>
      <c r="D236" s="33" t="str">
        <f>発注書!$D$3</f>
        <v>イルミナジョブ＆カレッジ千葉中央校</v>
      </c>
      <c r="E236" s="34" t="str">
        <f>発注書!$I$1</f>
        <v xml:space="preserve">2025年12月9日	</v>
      </c>
      <c r="F236" s="33" t="str">
        <f>発注書!H75</f>
        <v/>
      </c>
      <c r="G236" s="33" t="str">
        <f>発注書!I75</f>
        <v/>
      </c>
      <c r="H236" s="33">
        <f>発注書!J75</f>
        <v>0</v>
      </c>
      <c r="I236" s="33">
        <v>0</v>
      </c>
      <c r="J236" s="33" t="str">
        <f t="shared" si="6"/>
        <v/>
      </c>
      <c r="K236" s="33" t="e">
        <f>発注書!$I$5</f>
        <v>#N/A</v>
      </c>
    </row>
    <row r="237" spans="1:11" x14ac:dyDescent="0.15">
      <c r="A237" s="33">
        <f t="shared" si="5"/>
        <v>236</v>
      </c>
      <c r="B237" s="33">
        <v>2</v>
      </c>
      <c r="C237" s="33" t="str">
        <f>発注書!$C$3</f>
        <v>bb02787</v>
      </c>
      <c r="D237" s="33" t="str">
        <f>発注書!$D$3</f>
        <v>イルミナジョブ＆カレッジ千葉中央校</v>
      </c>
      <c r="E237" s="34" t="str">
        <f>発注書!$I$1</f>
        <v xml:space="preserve">2025年12月9日	</v>
      </c>
      <c r="F237" s="33" t="str">
        <f>発注書!H76</f>
        <v/>
      </c>
      <c r="G237" s="33" t="str">
        <f>発注書!I76</f>
        <v/>
      </c>
      <c r="H237" s="33">
        <f>発注書!J76</f>
        <v>0</v>
      </c>
      <c r="I237" s="33">
        <v>0</v>
      </c>
      <c r="J237" s="33" t="str">
        <f t="shared" si="6"/>
        <v/>
      </c>
      <c r="K237" s="33" t="e">
        <f>発注書!$I$5</f>
        <v>#N/A</v>
      </c>
    </row>
    <row r="238" spans="1:11" x14ac:dyDescent="0.15">
      <c r="A238" s="33">
        <f t="shared" si="5"/>
        <v>237</v>
      </c>
      <c r="B238" s="33">
        <v>2</v>
      </c>
      <c r="C238" s="33" t="str">
        <f>発注書!$C$3</f>
        <v>bb02787</v>
      </c>
      <c r="D238" s="33" t="str">
        <f>発注書!$D$3</f>
        <v>イルミナジョブ＆カレッジ千葉中央校</v>
      </c>
      <c r="E238" s="34" t="str">
        <f>発注書!$I$1</f>
        <v xml:space="preserve">2025年12月9日	</v>
      </c>
      <c r="F238" s="33" t="str">
        <f>発注書!H77</f>
        <v/>
      </c>
      <c r="G238" s="33" t="str">
        <f>発注書!I77</f>
        <v/>
      </c>
      <c r="H238" s="33">
        <f>発注書!J77</f>
        <v>0</v>
      </c>
      <c r="I238" s="33">
        <v>0</v>
      </c>
      <c r="J238" s="33" t="str">
        <f t="shared" si="6"/>
        <v/>
      </c>
      <c r="K238" s="33" t="e">
        <f>発注書!$I$5</f>
        <v>#N/A</v>
      </c>
    </row>
    <row r="239" spans="1:11" x14ac:dyDescent="0.15">
      <c r="A239" s="33">
        <f t="shared" si="5"/>
        <v>238</v>
      </c>
      <c r="B239" s="33">
        <v>2</v>
      </c>
      <c r="C239" s="33" t="str">
        <f>発注書!$C$3</f>
        <v>bb02787</v>
      </c>
      <c r="D239" s="33" t="str">
        <f>発注書!$D$3</f>
        <v>イルミナジョブ＆カレッジ千葉中央校</v>
      </c>
      <c r="E239" s="34" t="str">
        <f>発注書!$I$1</f>
        <v xml:space="preserve">2025年12月9日	</v>
      </c>
      <c r="F239" s="33" t="str">
        <f>発注書!H78</f>
        <v/>
      </c>
      <c r="G239" s="33" t="str">
        <f>発注書!I78</f>
        <v/>
      </c>
      <c r="H239" s="33">
        <f>発注書!J78</f>
        <v>0</v>
      </c>
      <c r="I239" s="33">
        <v>0</v>
      </c>
      <c r="J239" s="33" t="str">
        <f t="shared" si="6"/>
        <v/>
      </c>
      <c r="K239" s="33" t="e">
        <f>発注書!$I$5</f>
        <v>#N/A</v>
      </c>
    </row>
    <row r="240" spans="1:11" x14ac:dyDescent="0.15">
      <c r="A240" s="33">
        <f t="shared" si="5"/>
        <v>239</v>
      </c>
      <c r="B240" s="33">
        <v>2</v>
      </c>
      <c r="C240" s="33" t="str">
        <f>発注書!$C$3</f>
        <v>bb02787</v>
      </c>
      <c r="D240" s="33" t="str">
        <f>発注書!$D$3</f>
        <v>イルミナジョブ＆カレッジ千葉中央校</v>
      </c>
      <c r="E240" s="34" t="str">
        <f>発注書!$I$1</f>
        <v xml:space="preserve">2025年12月9日	</v>
      </c>
      <c r="F240" s="33" t="str">
        <f>発注書!H79</f>
        <v/>
      </c>
      <c r="G240" s="33" t="str">
        <f>発注書!I79</f>
        <v/>
      </c>
      <c r="H240" s="33">
        <f>発注書!J79</f>
        <v>0</v>
      </c>
      <c r="I240" s="33">
        <v>0</v>
      </c>
      <c r="J240" s="33" t="str">
        <f t="shared" si="6"/>
        <v/>
      </c>
      <c r="K240" s="33" t="e">
        <f>発注書!$I$5</f>
        <v>#N/A</v>
      </c>
    </row>
    <row r="241" spans="1:11" x14ac:dyDescent="0.15">
      <c r="A241" s="33">
        <f t="shared" si="5"/>
        <v>240</v>
      </c>
      <c r="B241" s="33">
        <v>2</v>
      </c>
      <c r="C241" s="33" t="str">
        <f>発注書!$C$3</f>
        <v>bb02787</v>
      </c>
      <c r="D241" s="33" t="str">
        <f>発注書!$D$3</f>
        <v>イルミナジョブ＆カレッジ千葉中央校</v>
      </c>
      <c r="E241" s="34" t="str">
        <f>発注書!$I$1</f>
        <v xml:space="preserve">2025年12月9日	</v>
      </c>
      <c r="F241" s="33" t="str">
        <f>発注書!H80</f>
        <v/>
      </c>
      <c r="G241" s="33" t="str">
        <f>発注書!I80</f>
        <v/>
      </c>
      <c r="H241" s="33">
        <f>発注書!J80</f>
        <v>0</v>
      </c>
      <c r="I241" s="33">
        <v>0</v>
      </c>
      <c r="J241" s="33" t="str">
        <f t="shared" si="6"/>
        <v/>
      </c>
      <c r="K241" s="33" t="e">
        <f>発注書!$I$5</f>
        <v>#N/A</v>
      </c>
    </row>
    <row r="242" spans="1:11" x14ac:dyDescent="0.15">
      <c r="A242" s="33">
        <f t="shared" si="5"/>
        <v>241</v>
      </c>
      <c r="B242" s="33">
        <v>2</v>
      </c>
      <c r="C242" s="33" t="str">
        <f>発注書!$C$3</f>
        <v>bb02787</v>
      </c>
      <c r="D242" s="33" t="str">
        <f>発注書!$D$3</f>
        <v>イルミナジョブ＆カレッジ千葉中央校</v>
      </c>
      <c r="E242" s="34" t="str">
        <f>発注書!$I$1</f>
        <v xml:space="preserve">2025年12月9日	</v>
      </c>
      <c r="F242" s="33" t="str">
        <f>発注書!H81</f>
        <v/>
      </c>
      <c r="G242" s="33" t="str">
        <f>発注書!I81</f>
        <v/>
      </c>
      <c r="H242" s="33">
        <f>発注書!J81</f>
        <v>0</v>
      </c>
      <c r="I242" s="33">
        <v>0</v>
      </c>
      <c r="J242" s="33" t="str">
        <f t="shared" si="6"/>
        <v/>
      </c>
      <c r="K242" s="33" t="e">
        <f>発注書!$I$5</f>
        <v>#N/A</v>
      </c>
    </row>
    <row r="243" spans="1:11" x14ac:dyDescent="0.15">
      <c r="A243" s="33">
        <f t="shared" si="5"/>
        <v>242</v>
      </c>
      <c r="B243" s="33">
        <v>2</v>
      </c>
      <c r="C243" s="33" t="str">
        <f>発注書!$C$3</f>
        <v>bb02787</v>
      </c>
      <c r="D243" s="33" t="str">
        <f>発注書!$D$3</f>
        <v>イルミナジョブ＆カレッジ千葉中央校</v>
      </c>
      <c r="E243" s="34" t="str">
        <f>発注書!$I$1</f>
        <v xml:space="preserve">2025年12月9日	</v>
      </c>
      <c r="F243" s="33" t="str">
        <f>発注書!H82</f>
        <v/>
      </c>
      <c r="G243" s="33" t="str">
        <f>発注書!I82</f>
        <v/>
      </c>
      <c r="H243" s="33">
        <f>発注書!J82</f>
        <v>0</v>
      </c>
      <c r="I243" s="33">
        <v>0</v>
      </c>
      <c r="J243" s="33" t="str">
        <f t="shared" si="6"/>
        <v/>
      </c>
      <c r="K243" s="33" t="e">
        <f>発注書!$I$5</f>
        <v>#N/A</v>
      </c>
    </row>
    <row r="244" spans="1:11" x14ac:dyDescent="0.15">
      <c r="A244" s="33">
        <f t="shared" si="5"/>
        <v>243</v>
      </c>
      <c r="B244" s="33">
        <v>2</v>
      </c>
      <c r="C244" s="33" t="str">
        <f>発注書!$C$3</f>
        <v>bb02787</v>
      </c>
      <c r="D244" s="33" t="str">
        <f>発注書!$D$3</f>
        <v>イルミナジョブ＆カレッジ千葉中央校</v>
      </c>
      <c r="E244" s="34" t="str">
        <f>発注書!$I$1</f>
        <v xml:space="preserve">2025年12月9日	</v>
      </c>
      <c r="F244" s="33" t="str">
        <f>発注書!H83</f>
        <v/>
      </c>
      <c r="G244" s="33" t="str">
        <f>発注書!I83</f>
        <v/>
      </c>
      <c r="H244" s="33">
        <f>発注書!J83</f>
        <v>0</v>
      </c>
      <c r="I244" s="33">
        <v>0</v>
      </c>
      <c r="J244" s="33" t="str">
        <f t="shared" si="6"/>
        <v/>
      </c>
      <c r="K244" s="33" t="e">
        <f>発注書!$I$5</f>
        <v>#N/A</v>
      </c>
    </row>
    <row r="245" spans="1:11" x14ac:dyDescent="0.15">
      <c r="A245" s="33">
        <f t="shared" si="5"/>
        <v>244</v>
      </c>
      <c r="B245" s="33">
        <v>2</v>
      </c>
      <c r="C245" s="33" t="str">
        <f>発注書!$C$3</f>
        <v>bb02787</v>
      </c>
      <c r="D245" s="33" t="str">
        <f>発注書!$D$3</f>
        <v>イルミナジョブ＆カレッジ千葉中央校</v>
      </c>
      <c r="E245" s="34" t="str">
        <f>発注書!$I$1</f>
        <v xml:space="preserve">2025年12月9日	</v>
      </c>
      <c r="F245" s="33" t="str">
        <f>発注書!H84</f>
        <v/>
      </c>
      <c r="G245" s="33" t="str">
        <f>発注書!I84</f>
        <v/>
      </c>
      <c r="H245" s="33">
        <f>発注書!J84</f>
        <v>0</v>
      </c>
      <c r="I245" s="33">
        <v>0</v>
      </c>
      <c r="J245" s="33" t="str">
        <f t="shared" si="6"/>
        <v/>
      </c>
      <c r="K245" s="33" t="e">
        <f>発注書!$I$5</f>
        <v>#N/A</v>
      </c>
    </row>
    <row r="246" spans="1:11" x14ac:dyDescent="0.15">
      <c r="A246" s="33">
        <f t="shared" si="5"/>
        <v>245</v>
      </c>
      <c r="B246" s="33">
        <v>2</v>
      </c>
      <c r="C246" s="33" t="str">
        <f>発注書!$C$3</f>
        <v>bb02787</v>
      </c>
      <c r="D246" s="33" t="str">
        <f>発注書!$D$3</f>
        <v>イルミナジョブ＆カレッジ千葉中央校</v>
      </c>
      <c r="E246" s="34" t="str">
        <f>発注書!$I$1</f>
        <v xml:space="preserve">2025年12月9日	</v>
      </c>
      <c r="F246" s="33" t="str">
        <f>発注書!H85</f>
        <v/>
      </c>
      <c r="G246" s="33" t="str">
        <f>発注書!I85</f>
        <v/>
      </c>
      <c r="H246" s="33">
        <f>発注書!J85</f>
        <v>0</v>
      </c>
      <c r="I246" s="33">
        <v>0</v>
      </c>
      <c r="J246" s="33" t="str">
        <f t="shared" si="6"/>
        <v/>
      </c>
      <c r="K246" s="33" t="e">
        <f>発注書!$I$5</f>
        <v>#N/A</v>
      </c>
    </row>
    <row r="247" spans="1:11" x14ac:dyDescent="0.15">
      <c r="A247" s="33">
        <f t="shared" si="5"/>
        <v>246</v>
      </c>
      <c r="B247" s="33">
        <v>2</v>
      </c>
      <c r="C247" s="33" t="str">
        <f>発注書!$C$3</f>
        <v>bb02787</v>
      </c>
      <c r="D247" s="33" t="str">
        <f>発注書!$D$3</f>
        <v>イルミナジョブ＆カレッジ千葉中央校</v>
      </c>
      <c r="E247" s="34" t="str">
        <f>発注書!$I$1</f>
        <v xml:space="preserve">2025年12月9日	</v>
      </c>
      <c r="F247" s="33" t="str">
        <f>発注書!H86</f>
        <v/>
      </c>
      <c r="G247" s="33" t="str">
        <f>発注書!I86</f>
        <v/>
      </c>
      <c r="H247" s="33">
        <f>発注書!J86</f>
        <v>0</v>
      </c>
      <c r="I247" s="33">
        <v>0</v>
      </c>
      <c r="J247" s="33" t="str">
        <f t="shared" si="6"/>
        <v/>
      </c>
      <c r="K247" s="33" t="e">
        <f>発注書!$I$5</f>
        <v>#N/A</v>
      </c>
    </row>
    <row r="248" spans="1:11" x14ac:dyDescent="0.15">
      <c r="A248" s="33">
        <f t="shared" si="5"/>
        <v>247</v>
      </c>
      <c r="B248" s="33">
        <v>2</v>
      </c>
      <c r="C248" s="33" t="str">
        <f>発注書!$C$3</f>
        <v>bb02787</v>
      </c>
      <c r="D248" s="33" t="str">
        <f>発注書!$D$3</f>
        <v>イルミナジョブ＆カレッジ千葉中央校</v>
      </c>
      <c r="E248" s="34" t="str">
        <f>発注書!$I$1</f>
        <v xml:space="preserve">2025年12月9日	</v>
      </c>
      <c r="F248" s="33" t="str">
        <f>発注書!K6</f>
        <v/>
      </c>
      <c r="G248" s="33" t="str">
        <f>発注書!L6</f>
        <v/>
      </c>
      <c r="H248" s="33">
        <f>発注書!M6</f>
        <v>0</v>
      </c>
      <c r="I248" s="33">
        <v>0</v>
      </c>
      <c r="J248" s="33" t="str">
        <f t="shared" si="4"/>
        <v/>
      </c>
      <c r="K248" s="33" t="e">
        <f>発注書!$L$5</f>
        <v>#N/A</v>
      </c>
    </row>
    <row r="249" spans="1:11" x14ac:dyDescent="0.15">
      <c r="A249" s="33">
        <f t="shared" si="5"/>
        <v>248</v>
      </c>
      <c r="B249" s="33">
        <v>2</v>
      </c>
      <c r="C249" s="33" t="str">
        <f>発注書!$C$3</f>
        <v>bb02787</v>
      </c>
      <c r="D249" s="33" t="str">
        <f>発注書!$D$3</f>
        <v>イルミナジョブ＆カレッジ千葉中央校</v>
      </c>
      <c r="E249" s="34" t="str">
        <f>発注書!$I$1</f>
        <v xml:space="preserve">2025年12月9日	</v>
      </c>
      <c r="F249" s="33" t="str">
        <f>発注書!K7</f>
        <v/>
      </c>
      <c r="G249" s="33" t="str">
        <f>発注書!L7</f>
        <v/>
      </c>
      <c r="H249" s="33">
        <f>発注書!M7</f>
        <v>0</v>
      </c>
      <c r="I249" s="33">
        <v>0</v>
      </c>
      <c r="J249" s="33" t="str">
        <f t="shared" si="4"/>
        <v/>
      </c>
      <c r="K249" s="33" t="e">
        <f>発注書!$L$5</f>
        <v>#N/A</v>
      </c>
    </row>
    <row r="250" spans="1:11" x14ac:dyDescent="0.15">
      <c r="A250" s="33">
        <f t="shared" si="5"/>
        <v>249</v>
      </c>
      <c r="B250" s="33">
        <v>2</v>
      </c>
      <c r="C250" s="33" t="str">
        <f>発注書!$C$3</f>
        <v>bb02787</v>
      </c>
      <c r="D250" s="33" t="str">
        <f>発注書!$D$3</f>
        <v>イルミナジョブ＆カレッジ千葉中央校</v>
      </c>
      <c r="E250" s="34" t="str">
        <f>発注書!$I$1</f>
        <v xml:space="preserve">2025年12月9日	</v>
      </c>
      <c r="F250" s="33" t="str">
        <f>発注書!K8</f>
        <v/>
      </c>
      <c r="G250" s="33" t="str">
        <f>発注書!L8</f>
        <v/>
      </c>
      <c r="H250" s="33">
        <f>発注書!M8</f>
        <v>0</v>
      </c>
      <c r="I250" s="33">
        <v>0</v>
      </c>
      <c r="J250" s="33" t="str">
        <f t="shared" si="4"/>
        <v/>
      </c>
      <c r="K250" s="33" t="e">
        <f>発注書!$L$5</f>
        <v>#N/A</v>
      </c>
    </row>
    <row r="251" spans="1:11" x14ac:dyDescent="0.15">
      <c r="A251" s="33">
        <f t="shared" si="5"/>
        <v>250</v>
      </c>
      <c r="B251" s="33">
        <v>2</v>
      </c>
      <c r="C251" s="33" t="str">
        <f>発注書!$C$3</f>
        <v>bb02787</v>
      </c>
      <c r="D251" s="33" t="str">
        <f>発注書!$D$3</f>
        <v>イルミナジョブ＆カレッジ千葉中央校</v>
      </c>
      <c r="E251" s="34" t="str">
        <f>発注書!$I$1</f>
        <v xml:space="preserve">2025年12月9日	</v>
      </c>
      <c r="F251" s="33" t="str">
        <f>発注書!K9</f>
        <v/>
      </c>
      <c r="G251" s="33" t="str">
        <f>発注書!L9</f>
        <v/>
      </c>
      <c r="H251" s="33">
        <f>発注書!M9</f>
        <v>0</v>
      </c>
      <c r="I251" s="33">
        <v>0</v>
      </c>
      <c r="J251" s="33" t="str">
        <f t="shared" si="4"/>
        <v/>
      </c>
      <c r="K251" s="33" t="e">
        <f>発注書!$L$5</f>
        <v>#N/A</v>
      </c>
    </row>
    <row r="252" spans="1:11" x14ac:dyDescent="0.15">
      <c r="A252" s="33">
        <f t="shared" si="5"/>
        <v>251</v>
      </c>
      <c r="B252" s="33">
        <v>2</v>
      </c>
      <c r="C252" s="33" t="str">
        <f>発注書!$C$3</f>
        <v>bb02787</v>
      </c>
      <c r="D252" s="33" t="str">
        <f>発注書!$D$3</f>
        <v>イルミナジョブ＆カレッジ千葉中央校</v>
      </c>
      <c r="E252" s="34" t="str">
        <f>発注書!$I$1</f>
        <v xml:space="preserve">2025年12月9日	</v>
      </c>
      <c r="F252" s="33" t="str">
        <f>発注書!K10</f>
        <v/>
      </c>
      <c r="G252" s="33" t="str">
        <f>発注書!L10</f>
        <v/>
      </c>
      <c r="H252" s="33">
        <f>発注書!M10</f>
        <v>0</v>
      </c>
      <c r="I252" s="33">
        <v>0</v>
      </c>
      <c r="J252" s="33" t="str">
        <f t="shared" si="4"/>
        <v/>
      </c>
      <c r="K252" s="33" t="e">
        <f>発注書!$L$5</f>
        <v>#N/A</v>
      </c>
    </row>
    <row r="253" spans="1:11" x14ac:dyDescent="0.15">
      <c r="A253" s="33">
        <f t="shared" si="5"/>
        <v>252</v>
      </c>
      <c r="B253" s="33">
        <v>2</v>
      </c>
      <c r="C253" s="33" t="str">
        <f>発注書!$C$3</f>
        <v>bb02787</v>
      </c>
      <c r="D253" s="33" t="str">
        <f>発注書!$D$3</f>
        <v>イルミナジョブ＆カレッジ千葉中央校</v>
      </c>
      <c r="E253" s="34" t="str">
        <f>発注書!$I$1</f>
        <v xml:space="preserve">2025年12月9日	</v>
      </c>
      <c r="F253" s="33" t="str">
        <f>発注書!K11</f>
        <v/>
      </c>
      <c r="G253" s="33" t="str">
        <f>発注書!L11</f>
        <v/>
      </c>
      <c r="H253" s="33">
        <f>発注書!M11</f>
        <v>0</v>
      </c>
      <c r="I253" s="33">
        <v>0</v>
      </c>
      <c r="J253" s="33" t="str">
        <f t="shared" si="4"/>
        <v/>
      </c>
      <c r="K253" s="33" t="e">
        <f>発注書!$L$5</f>
        <v>#N/A</v>
      </c>
    </row>
    <row r="254" spans="1:11" x14ac:dyDescent="0.15">
      <c r="A254" s="33">
        <f t="shared" si="5"/>
        <v>253</v>
      </c>
      <c r="B254" s="33">
        <v>2</v>
      </c>
      <c r="C254" s="33" t="str">
        <f>発注書!$C$3</f>
        <v>bb02787</v>
      </c>
      <c r="D254" s="33" t="str">
        <f>発注書!$D$3</f>
        <v>イルミナジョブ＆カレッジ千葉中央校</v>
      </c>
      <c r="E254" s="34" t="str">
        <f>発注書!$I$1</f>
        <v xml:space="preserve">2025年12月9日	</v>
      </c>
      <c r="F254" s="33" t="str">
        <f>発注書!K12</f>
        <v/>
      </c>
      <c r="G254" s="33" t="str">
        <f>発注書!L12</f>
        <v/>
      </c>
      <c r="H254" s="33">
        <f>発注書!M12</f>
        <v>0</v>
      </c>
      <c r="I254" s="33">
        <v>0</v>
      </c>
      <c r="J254" s="33" t="str">
        <f t="shared" si="4"/>
        <v/>
      </c>
      <c r="K254" s="33" t="e">
        <f>発注書!$L$5</f>
        <v>#N/A</v>
      </c>
    </row>
    <row r="255" spans="1:11" x14ac:dyDescent="0.15">
      <c r="A255" s="33">
        <f t="shared" si="5"/>
        <v>254</v>
      </c>
      <c r="B255" s="33">
        <v>2</v>
      </c>
      <c r="C255" s="33" t="str">
        <f>発注書!$C$3</f>
        <v>bb02787</v>
      </c>
      <c r="D255" s="33" t="str">
        <f>発注書!$D$3</f>
        <v>イルミナジョブ＆カレッジ千葉中央校</v>
      </c>
      <c r="E255" s="34" t="str">
        <f>発注書!$I$1</f>
        <v xml:space="preserve">2025年12月9日	</v>
      </c>
      <c r="F255" s="33" t="str">
        <f>発注書!K13</f>
        <v/>
      </c>
      <c r="G255" s="33" t="str">
        <f>発注書!L13</f>
        <v/>
      </c>
      <c r="H255" s="33">
        <f>発注書!M13</f>
        <v>0</v>
      </c>
      <c r="I255" s="33">
        <v>0</v>
      </c>
      <c r="J255" s="33" t="str">
        <f t="shared" si="4"/>
        <v/>
      </c>
      <c r="K255" s="33" t="e">
        <f>発注書!$L$5</f>
        <v>#N/A</v>
      </c>
    </row>
    <row r="256" spans="1:11" x14ac:dyDescent="0.15">
      <c r="A256" s="33">
        <f t="shared" si="5"/>
        <v>255</v>
      </c>
      <c r="B256" s="33">
        <v>2</v>
      </c>
      <c r="C256" s="33" t="str">
        <f>発注書!$C$3</f>
        <v>bb02787</v>
      </c>
      <c r="D256" s="33" t="str">
        <f>発注書!$D$3</f>
        <v>イルミナジョブ＆カレッジ千葉中央校</v>
      </c>
      <c r="E256" s="34" t="str">
        <f>発注書!$I$1</f>
        <v xml:space="preserve">2025年12月9日	</v>
      </c>
      <c r="F256" s="33" t="str">
        <f>発注書!K14</f>
        <v/>
      </c>
      <c r="G256" s="33" t="str">
        <f>発注書!L14</f>
        <v/>
      </c>
      <c r="H256" s="33">
        <f>発注書!M14</f>
        <v>0</v>
      </c>
      <c r="I256" s="33">
        <v>0</v>
      </c>
      <c r="J256" s="33" t="str">
        <f t="shared" si="4"/>
        <v/>
      </c>
      <c r="K256" s="33" t="e">
        <f>発注書!$L$5</f>
        <v>#N/A</v>
      </c>
    </row>
    <row r="257" spans="1:11" x14ac:dyDescent="0.15">
      <c r="A257" s="33">
        <f t="shared" si="5"/>
        <v>256</v>
      </c>
      <c r="B257" s="33">
        <v>2</v>
      </c>
      <c r="C257" s="33" t="str">
        <f>発注書!$C$3</f>
        <v>bb02787</v>
      </c>
      <c r="D257" s="33" t="str">
        <f>発注書!$D$3</f>
        <v>イルミナジョブ＆カレッジ千葉中央校</v>
      </c>
      <c r="E257" s="34" t="str">
        <f>発注書!$I$1</f>
        <v xml:space="preserve">2025年12月9日	</v>
      </c>
      <c r="F257" s="33" t="str">
        <f>発注書!K15</f>
        <v/>
      </c>
      <c r="G257" s="33" t="str">
        <f>発注書!L15</f>
        <v/>
      </c>
      <c r="H257" s="33">
        <f>発注書!M15</f>
        <v>0</v>
      </c>
      <c r="I257" s="33">
        <v>0</v>
      </c>
      <c r="J257" s="33" t="str">
        <f t="shared" si="4"/>
        <v/>
      </c>
      <c r="K257" s="33" t="e">
        <f>発注書!$L$5</f>
        <v>#N/A</v>
      </c>
    </row>
    <row r="258" spans="1:11" x14ac:dyDescent="0.15">
      <c r="A258" s="33">
        <f t="shared" si="5"/>
        <v>257</v>
      </c>
      <c r="B258" s="33">
        <v>2</v>
      </c>
      <c r="C258" s="33" t="str">
        <f>発注書!$C$3</f>
        <v>bb02787</v>
      </c>
      <c r="D258" s="33" t="str">
        <f>発注書!$D$3</f>
        <v>イルミナジョブ＆カレッジ千葉中央校</v>
      </c>
      <c r="E258" s="34" t="str">
        <f>発注書!$I$1</f>
        <v xml:space="preserve">2025年12月9日	</v>
      </c>
      <c r="F258" s="33" t="str">
        <f>発注書!K16</f>
        <v/>
      </c>
      <c r="G258" s="33" t="str">
        <f>発注書!L16</f>
        <v/>
      </c>
      <c r="H258" s="33">
        <f>発注書!M16</f>
        <v>0</v>
      </c>
      <c r="I258" s="33">
        <v>0</v>
      </c>
      <c r="J258" s="33" t="str">
        <f t="shared" si="4"/>
        <v/>
      </c>
      <c r="K258" s="33" t="e">
        <f>発注書!$L$5</f>
        <v>#N/A</v>
      </c>
    </row>
    <row r="259" spans="1:11" x14ac:dyDescent="0.15">
      <c r="A259" s="33">
        <f t="shared" si="5"/>
        <v>258</v>
      </c>
      <c r="B259" s="33">
        <v>2</v>
      </c>
      <c r="C259" s="33" t="str">
        <f>発注書!$C$3</f>
        <v>bb02787</v>
      </c>
      <c r="D259" s="33" t="str">
        <f>発注書!$D$3</f>
        <v>イルミナジョブ＆カレッジ千葉中央校</v>
      </c>
      <c r="E259" s="34" t="str">
        <f>発注書!$I$1</f>
        <v xml:space="preserve">2025年12月9日	</v>
      </c>
      <c r="F259" s="33" t="str">
        <f>発注書!K17</f>
        <v/>
      </c>
      <c r="G259" s="33" t="str">
        <f>発注書!L17</f>
        <v/>
      </c>
      <c r="H259" s="33">
        <f>発注書!M17</f>
        <v>0</v>
      </c>
      <c r="I259" s="33">
        <v>0</v>
      </c>
      <c r="J259" s="33" t="str">
        <f t="shared" si="4"/>
        <v/>
      </c>
      <c r="K259" s="33" t="e">
        <f>発注書!$L$5</f>
        <v>#N/A</v>
      </c>
    </row>
    <row r="260" spans="1:11" x14ac:dyDescent="0.15">
      <c r="A260" s="33">
        <f t="shared" si="5"/>
        <v>259</v>
      </c>
      <c r="B260" s="33">
        <v>2</v>
      </c>
      <c r="C260" s="33" t="str">
        <f>発注書!$C$3</f>
        <v>bb02787</v>
      </c>
      <c r="D260" s="33" t="str">
        <f>発注書!$D$3</f>
        <v>イルミナジョブ＆カレッジ千葉中央校</v>
      </c>
      <c r="E260" s="34" t="str">
        <f>発注書!$I$1</f>
        <v xml:space="preserve">2025年12月9日	</v>
      </c>
      <c r="F260" s="33" t="str">
        <f>発注書!K18</f>
        <v/>
      </c>
      <c r="G260" s="33" t="str">
        <f>発注書!L18</f>
        <v/>
      </c>
      <c r="H260" s="33">
        <f>発注書!M18</f>
        <v>0</v>
      </c>
      <c r="I260" s="33">
        <v>0</v>
      </c>
      <c r="J260" s="33" t="str">
        <f t="shared" si="4"/>
        <v/>
      </c>
      <c r="K260" s="33" t="e">
        <f>発注書!$L$5</f>
        <v>#N/A</v>
      </c>
    </row>
    <row r="261" spans="1:11" x14ac:dyDescent="0.15">
      <c r="A261" s="33">
        <f t="shared" si="5"/>
        <v>260</v>
      </c>
      <c r="B261" s="33">
        <v>2</v>
      </c>
      <c r="C261" s="33" t="str">
        <f>発注書!$C$3</f>
        <v>bb02787</v>
      </c>
      <c r="D261" s="33" t="str">
        <f>発注書!$D$3</f>
        <v>イルミナジョブ＆カレッジ千葉中央校</v>
      </c>
      <c r="E261" s="34" t="str">
        <f>発注書!$I$1</f>
        <v xml:space="preserve">2025年12月9日	</v>
      </c>
      <c r="F261" s="33" t="str">
        <f>発注書!K19</f>
        <v/>
      </c>
      <c r="G261" s="33" t="str">
        <f>発注書!L19</f>
        <v/>
      </c>
      <c r="H261" s="33">
        <f>発注書!M19</f>
        <v>0</v>
      </c>
      <c r="I261" s="33">
        <v>0</v>
      </c>
      <c r="J261" s="33" t="str">
        <f t="shared" si="4"/>
        <v/>
      </c>
      <c r="K261" s="33" t="e">
        <f>発注書!$L$5</f>
        <v>#N/A</v>
      </c>
    </row>
    <row r="262" spans="1:11" x14ac:dyDescent="0.15">
      <c r="A262" s="33">
        <f t="shared" si="5"/>
        <v>261</v>
      </c>
      <c r="B262" s="33">
        <v>2</v>
      </c>
      <c r="C262" s="33" t="str">
        <f>発注書!$C$3</f>
        <v>bb02787</v>
      </c>
      <c r="D262" s="33" t="str">
        <f>発注書!$D$3</f>
        <v>イルミナジョブ＆カレッジ千葉中央校</v>
      </c>
      <c r="E262" s="34" t="str">
        <f>発注書!$I$1</f>
        <v xml:space="preserve">2025年12月9日	</v>
      </c>
      <c r="F262" s="33" t="str">
        <f>発注書!K20</f>
        <v/>
      </c>
      <c r="G262" s="33" t="str">
        <f>発注書!L20</f>
        <v/>
      </c>
      <c r="H262" s="33">
        <f>発注書!M20</f>
        <v>0</v>
      </c>
      <c r="I262" s="33">
        <v>0</v>
      </c>
      <c r="J262" s="33" t="str">
        <f t="shared" si="4"/>
        <v/>
      </c>
      <c r="K262" s="33" t="e">
        <f>発注書!$L$5</f>
        <v>#N/A</v>
      </c>
    </row>
    <row r="263" spans="1:11" x14ac:dyDescent="0.15">
      <c r="A263" s="33">
        <f t="shared" si="5"/>
        <v>262</v>
      </c>
      <c r="B263" s="33">
        <v>2</v>
      </c>
      <c r="C263" s="33" t="str">
        <f>発注書!$C$3</f>
        <v>bb02787</v>
      </c>
      <c r="D263" s="33" t="str">
        <f>発注書!$D$3</f>
        <v>イルミナジョブ＆カレッジ千葉中央校</v>
      </c>
      <c r="E263" s="34" t="str">
        <f>発注書!$I$1</f>
        <v xml:space="preserve">2025年12月9日	</v>
      </c>
      <c r="F263" s="33" t="str">
        <f>発注書!K21</f>
        <v/>
      </c>
      <c r="G263" s="33" t="str">
        <f>発注書!L21</f>
        <v/>
      </c>
      <c r="H263" s="33">
        <f>発注書!M21</f>
        <v>0</v>
      </c>
      <c r="I263" s="33">
        <v>0</v>
      </c>
      <c r="J263" s="33" t="str">
        <f t="shared" si="4"/>
        <v/>
      </c>
      <c r="K263" s="33" t="e">
        <f>発注書!$L$5</f>
        <v>#N/A</v>
      </c>
    </row>
    <row r="264" spans="1:11" x14ac:dyDescent="0.15">
      <c r="A264" s="33">
        <f t="shared" si="5"/>
        <v>263</v>
      </c>
      <c r="B264" s="33">
        <v>2</v>
      </c>
      <c r="C264" s="33" t="str">
        <f>発注書!$C$3</f>
        <v>bb02787</v>
      </c>
      <c r="D264" s="33" t="str">
        <f>発注書!$D$3</f>
        <v>イルミナジョブ＆カレッジ千葉中央校</v>
      </c>
      <c r="E264" s="34" t="str">
        <f>発注書!$I$1</f>
        <v xml:space="preserve">2025年12月9日	</v>
      </c>
      <c r="F264" s="33" t="str">
        <f>発注書!K22</f>
        <v/>
      </c>
      <c r="G264" s="33" t="str">
        <f>発注書!L22</f>
        <v/>
      </c>
      <c r="H264" s="33">
        <f>発注書!M22</f>
        <v>0</v>
      </c>
      <c r="I264" s="33">
        <v>0</v>
      </c>
      <c r="J264" s="33" t="str">
        <f t="shared" si="4"/>
        <v/>
      </c>
      <c r="K264" s="33" t="e">
        <f>発注書!$L$5</f>
        <v>#N/A</v>
      </c>
    </row>
    <row r="265" spans="1:11" x14ac:dyDescent="0.15">
      <c r="A265" s="33">
        <f t="shared" si="5"/>
        <v>264</v>
      </c>
      <c r="B265" s="33">
        <v>2</v>
      </c>
      <c r="C265" s="33" t="str">
        <f>発注書!$C$3</f>
        <v>bb02787</v>
      </c>
      <c r="D265" s="33" t="str">
        <f>発注書!$D$3</f>
        <v>イルミナジョブ＆カレッジ千葉中央校</v>
      </c>
      <c r="E265" s="34" t="str">
        <f>発注書!$I$1</f>
        <v xml:space="preserve">2025年12月9日	</v>
      </c>
      <c r="F265" s="33" t="str">
        <f>発注書!K23</f>
        <v/>
      </c>
      <c r="G265" s="33" t="str">
        <f>発注書!L23</f>
        <v/>
      </c>
      <c r="H265" s="33">
        <f>発注書!M23</f>
        <v>0</v>
      </c>
      <c r="I265" s="33">
        <v>0</v>
      </c>
      <c r="J265" s="33" t="str">
        <f t="shared" si="4"/>
        <v/>
      </c>
      <c r="K265" s="33" t="e">
        <f>発注書!$L$5</f>
        <v>#N/A</v>
      </c>
    </row>
    <row r="266" spans="1:11" x14ac:dyDescent="0.15">
      <c r="A266" s="33">
        <f t="shared" si="5"/>
        <v>265</v>
      </c>
      <c r="B266" s="33">
        <v>2</v>
      </c>
      <c r="C266" s="33" t="str">
        <f>発注書!$C$3</f>
        <v>bb02787</v>
      </c>
      <c r="D266" s="33" t="str">
        <f>発注書!$D$3</f>
        <v>イルミナジョブ＆カレッジ千葉中央校</v>
      </c>
      <c r="E266" s="34" t="str">
        <f>発注書!$I$1</f>
        <v xml:space="preserve">2025年12月9日	</v>
      </c>
      <c r="F266" s="33" t="str">
        <f>発注書!K24</f>
        <v/>
      </c>
      <c r="G266" s="33" t="str">
        <f>発注書!L24</f>
        <v/>
      </c>
      <c r="H266" s="33">
        <f>発注書!M24</f>
        <v>0</v>
      </c>
      <c r="I266" s="33">
        <v>0</v>
      </c>
      <c r="J266" s="33" t="str">
        <f t="shared" si="4"/>
        <v/>
      </c>
      <c r="K266" s="33" t="e">
        <f>発注書!$L$5</f>
        <v>#N/A</v>
      </c>
    </row>
    <row r="267" spans="1:11" x14ac:dyDescent="0.15">
      <c r="A267" s="33">
        <f t="shared" si="5"/>
        <v>266</v>
      </c>
      <c r="B267" s="33">
        <v>2</v>
      </c>
      <c r="C267" s="33" t="str">
        <f>発注書!$C$3</f>
        <v>bb02787</v>
      </c>
      <c r="D267" s="33" t="str">
        <f>発注書!$D$3</f>
        <v>イルミナジョブ＆カレッジ千葉中央校</v>
      </c>
      <c r="E267" s="34" t="str">
        <f>発注書!$I$1</f>
        <v xml:space="preserve">2025年12月9日	</v>
      </c>
      <c r="F267" s="33" t="str">
        <f>発注書!K25</f>
        <v/>
      </c>
      <c r="G267" s="33" t="str">
        <f>発注書!L25</f>
        <v/>
      </c>
      <c r="H267" s="33">
        <f>発注書!M25</f>
        <v>0</v>
      </c>
      <c r="I267" s="33">
        <v>0</v>
      </c>
      <c r="J267" s="33" t="str">
        <f t="shared" si="4"/>
        <v/>
      </c>
      <c r="K267" s="33" t="e">
        <f>発注書!$L$5</f>
        <v>#N/A</v>
      </c>
    </row>
    <row r="268" spans="1:11" x14ac:dyDescent="0.15">
      <c r="A268" s="33">
        <f t="shared" si="5"/>
        <v>267</v>
      </c>
      <c r="B268" s="33">
        <v>2</v>
      </c>
      <c r="C268" s="33" t="str">
        <f>発注書!$C$3</f>
        <v>bb02787</v>
      </c>
      <c r="D268" s="33" t="str">
        <f>発注書!$D$3</f>
        <v>イルミナジョブ＆カレッジ千葉中央校</v>
      </c>
      <c r="E268" s="34" t="str">
        <f>発注書!$I$1</f>
        <v xml:space="preserve">2025年12月9日	</v>
      </c>
      <c r="F268" s="33" t="str">
        <f>発注書!K26</f>
        <v/>
      </c>
      <c r="G268" s="33" t="str">
        <f>発注書!L26</f>
        <v/>
      </c>
      <c r="H268" s="33">
        <f>発注書!M26</f>
        <v>0</v>
      </c>
      <c r="I268" s="33">
        <v>0</v>
      </c>
      <c r="J268" s="33" t="str">
        <f t="shared" si="4"/>
        <v/>
      </c>
      <c r="K268" s="33" t="e">
        <f>発注書!$L$5</f>
        <v>#N/A</v>
      </c>
    </row>
    <row r="269" spans="1:11" x14ac:dyDescent="0.15">
      <c r="A269" s="33">
        <f t="shared" si="5"/>
        <v>268</v>
      </c>
      <c r="B269" s="33">
        <v>2</v>
      </c>
      <c r="C269" s="33" t="str">
        <f>発注書!$C$3</f>
        <v>bb02787</v>
      </c>
      <c r="D269" s="33" t="str">
        <f>発注書!$D$3</f>
        <v>イルミナジョブ＆カレッジ千葉中央校</v>
      </c>
      <c r="E269" s="34" t="str">
        <f>発注書!$I$1</f>
        <v xml:space="preserve">2025年12月9日	</v>
      </c>
      <c r="F269" s="33" t="str">
        <f>発注書!K27</f>
        <v/>
      </c>
      <c r="G269" s="33" t="str">
        <f>発注書!L27</f>
        <v/>
      </c>
      <c r="H269" s="33">
        <f>発注書!M27</f>
        <v>0</v>
      </c>
      <c r="I269" s="33">
        <v>0</v>
      </c>
      <c r="J269" s="33" t="str">
        <f t="shared" si="4"/>
        <v/>
      </c>
      <c r="K269" s="33" t="e">
        <f>発注書!$L$5</f>
        <v>#N/A</v>
      </c>
    </row>
    <row r="270" spans="1:11" x14ac:dyDescent="0.15">
      <c r="A270" s="33">
        <f t="shared" si="5"/>
        <v>269</v>
      </c>
      <c r="B270" s="33">
        <v>2</v>
      </c>
      <c r="C270" s="33" t="str">
        <f>発注書!$C$3</f>
        <v>bb02787</v>
      </c>
      <c r="D270" s="33" t="str">
        <f>発注書!$D$3</f>
        <v>イルミナジョブ＆カレッジ千葉中央校</v>
      </c>
      <c r="E270" s="34" t="str">
        <f>発注書!$I$1</f>
        <v xml:space="preserve">2025年12月9日	</v>
      </c>
      <c r="F270" s="33" t="str">
        <f>発注書!K28</f>
        <v/>
      </c>
      <c r="G270" s="33" t="str">
        <f>発注書!L28</f>
        <v/>
      </c>
      <c r="H270" s="33">
        <f>発注書!M28</f>
        <v>0</v>
      </c>
      <c r="I270" s="33">
        <v>0</v>
      </c>
      <c r="J270" s="33" t="str">
        <f t="shared" si="4"/>
        <v/>
      </c>
      <c r="K270" s="33" t="e">
        <f>発注書!$L$5</f>
        <v>#N/A</v>
      </c>
    </row>
    <row r="271" spans="1:11" x14ac:dyDescent="0.15">
      <c r="A271" s="33">
        <f t="shared" si="5"/>
        <v>270</v>
      </c>
      <c r="B271" s="33">
        <v>2</v>
      </c>
      <c r="C271" s="33" t="str">
        <f>発注書!$C$3</f>
        <v>bb02787</v>
      </c>
      <c r="D271" s="33" t="str">
        <f>発注書!$D$3</f>
        <v>イルミナジョブ＆カレッジ千葉中央校</v>
      </c>
      <c r="E271" s="34" t="str">
        <f>発注書!$I$1</f>
        <v xml:space="preserve">2025年12月9日	</v>
      </c>
      <c r="F271" s="33" t="str">
        <f>発注書!K29</f>
        <v/>
      </c>
      <c r="G271" s="33" t="str">
        <f>発注書!L29</f>
        <v/>
      </c>
      <c r="H271" s="33">
        <f>発注書!M29</f>
        <v>0</v>
      </c>
      <c r="I271" s="33">
        <v>0</v>
      </c>
      <c r="J271" s="33" t="str">
        <f t="shared" si="4"/>
        <v/>
      </c>
      <c r="K271" s="33" t="e">
        <f>発注書!$L$5</f>
        <v>#N/A</v>
      </c>
    </row>
    <row r="272" spans="1:11" x14ac:dyDescent="0.15">
      <c r="A272" s="33">
        <f t="shared" si="5"/>
        <v>271</v>
      </c>
      <c r="B272" s="33">
        <v>2</v>
      </c>
      <c r="C272" s="33" t="str">
        <f>発注書!$C$3</f>
        <v>bb02787</v>
      </c>
      <c r="D272" s="33" t="str">
        <f>発注書!$D$3</f>
        <v>イルミナジョブ＆カレッジ千葉中央校</v>
      </c>
      <c r="E272" s="34" t="str">
        <f>発注書!$I$1</f>
        <v xml:space="preserve">2025年12月9日	</v>
      </c>
      <c r="F272" s="33" t="str">
        <f>発注書!K30</f>
        <v/>
      </c>
      <c r="G272" s="33" t="str">
        <f>発注書!L30</f>
        <v/>
      </c>
      <c r="H272" s="33">
        <f>発注書!M30</f>
        <v>0</v>
      </c>
      <c r="I272" s="33">
        <v>0</v>
      </c>
      <c r="J272" s="33" t="str">
        <f t="shared" si="4"/>
        <v/>
      </c>
      <c r="K272" s="33" t="e">
        <f>発注書!$L$5</f>
        <v>#N/A</v>
      </c>
    </row>
    <row r="273" spans="1:11" x14ac:dyDescent="0.15">
      <c r="A273" s="33">
        <f t="shared" si="5"/>
        <v>272</v>
      </c>
      <c r="B273" s="33">
        <v>2</v>
      </c>
      <c r="C273" s="33" t="str">
        <f>発注書!$C$3</f>
        <v>bb02787</v>
      </c>
      <c r="D273" s="33" t="str">
        <f>発注書!$D$3</f>
        <v>イルミナジョブ＆カレッジ千葉中央校</v>
      </c>
      <c r="E273" s="34" t="str">
        <f>発注書!$I$1</f>
        <v xml:space="preserve">2025年12月9日	</v>
      </c>
      <c r="F273" s="33" t="str">
        <f>発注書!K31</f>
        <v/>
      </c>
      <c r="G273" s="33" t="str">
        <f>発注書!L31</f>
        <v/>
      </c>
      <c r="H273" s="33">
        <f>発注書!M31</f>
        <v>0</v>
      </c>
      <c r="I273" s="33">
        <v>0</v>
      </c>
      <c r="J273" s="33" t="str">
        <f t="shared" ref="J273:J328" si="7">LEFT(F273,2)</f>
        <v/>
      </c>
      <c r="K273" s="33" t="e">
        <f>発注書!$L$5</f>
        <v>#N/A</v>
      </c>
    </row>
    <row r="274" spans="1:11" x14ac:dyDescent="0.15">
      <c r="A274" s="33">
        <f t="shared" si="5"/>
        <v>273</v>
      </c>
      <c r="B274" s="33">
        <v>2</v>
      </c>
      <c r="C274" s="33" t="str">
        <f>発注書!$C$3</f>
        <v>bb02787</v>
      </c>
      <c r="D274" s="33" t="str">
        <f>発注書!$D$3</f>
        <v>イルミナジョブ＆カレッジ千葉中央校</v>
      </c>
      <c r="E274" s="34" t="str">
        <f>発注書!$I$1</f>
        <v xml:space="preserve">2025年12月9日	</v>
      </c>
      <c r="F274" s="33" t="str">
        <f>発注書!K32</f>
        <v/>
      </c>
      <c r="G274" s="33" t="str">
        <f>発注書!L32</f>
        <v/>
      </c>
      <c r="H274" s="33">
        <f>発注書!M32</f>
        <v>0</v>
      </c>
      <c r="I274" s="33">
        <v>0</v>
      </c>
      <c r="J274" s="33" t="str">
        <f t="shared" si="7"/>
        <v/>
      </c>
      <c r="K274" s="33" t="e">
        <f>発注書!$L$5</f>
        <v>#N/A</v>
      </c>
    </row>
    <row r="275" spans="1:11" x14ac:dyDescent="0.15">
      <c r="A275" s="33">
        <f t="shared" si="5"/>
        <v>274</v>
      </c>
      <c r="B275" s="33">
        <v>2</v>
      </c>
      <c r="C275" s="33" t="str">
        <f>発注書!$C$3</f>
        <v>bb02787</v>
      </c>
      <c r="D275" s="33" t="str">
        <f>発注書!$D$3</f>
        <v>イルミナジョブ＆カレッジ千葉中央校</v>
      </c>
      <c r="E275" s="34" t="str">
        <f>発注書!$I$1</f>
        <v xml:space="preserve">2025年12月9日	</v>
      </c>
      <c r="F275" s="33" t="str">
        <f>発注書!K33</f>
        <v/>
      </c>
      <c r="G275" s="33" t="str">
        <f>発注書!L33</f>
        <v/>
      </c>
      <c r="H275" s="33">
        <f>発注書!M33</f>
        <v>0</v>
      </c>
      <c r="I275" s="33">
        <v>0</v>
      </c>
      <c r="J275" s="33" t="str">
        <f t="shared" si="7"/>
        <v/>
      </c>
      <c r="K275" s="33" t="e">
        <f>発注書!$L$5</f>
        <v>#N/A</v>
      </c>
    </row>
    <row r="276" spans="1:11" x14ac:dyDescent="0.15">
      <c r="A276" s="33">
        <f t="shared" si="5"/>
        <v>275</v>
      </c>
      <c r="B276" s="33">
        <v>2</v>
      </c>
      <c r="C276" s="33" t="str">
        <f>発注書!$C$3</f>
        <v>bb02787</v>
      </c>
      <c r="D276" s="33" t="str">
        <f>発注書!$D$3</f>
        <v>イルミナジョブ＆カレッジ千葉中央校</v>
      </c>
      <c r="E276" s="34" t="str">
        <f>発注書!$I$1</f>
        <v xml:space="preserve">2025年12月9日	</v>
      </c>
      <c r="F276" s="33" t="str">
        <f>発注書!K34</f>
        <v/>
      </c>
      <c r="G276" s="33" t="str">
        <f>発注書!L34</f>
        <v/>
      </c>
      <c r="H276" s="33">
        <f>発注書!M34</f>
        <v>0</v>
      </c>
      <c r="I276" s="33">
        <v>0</v>
      </c>
      <c r="J276" s="33" t="str">
        <f t="shared" si="7"/>
        <v/>
      </c>
      <c r="K276" s="33" t="e">
        <f>発注書!$L$5</f>
        <v>#N/A</v>
      </c>
    </row>
    <row r="277" spans="1:11" x14ac:dyDescent="0.15">
      <c r="A277" s="33">
        <f t="shared" si="5"/>
        <v>276</v>
      </c>
      <c r="B277" s="33">
        <v>2</v>
      </c>
      <c r="C277" s="33" t="str">
        <f>発注書!$C$3</f>
        <v>bb02787</v>
      </c>
      <c r="D277" s="33" t="str">
        <f>発注書!$D$3</f>
        <v>イルミナジョブ＆カレッジ千葉中央校</v>
      </c>
      <c r="E277" s="34" t="str">
        <f>発注書!$I$1</f>
        <v xml:space="preserve">2025年12月9日	</v>
      </c>
      <c r="F277" s="33" t="str">
        <f>発注書!K35</f>
        <v/>
      </c>
      <c r="G277" s="33" t="str">
        <f>発注書!L35</f>
        <v/>
      </c>
      <c r="H277" s="33">
        <f>発注書!M35</f>
        <v>0</v>
      </c>
      <c r="I277" s="33">
        <v>0</v>
      </c>
      <c r="J277" s="33" t="str">
        <f t="shared" si="7"/>
        <v/>
      </c>
      <c r="K277" s="33" t="e">
        <f>発注書!$L$5</f>
        <v>#N/A</v>
      </c>
    </row>
    <row r="278" spans="1:11" x14ac:dyDescent="0.15">
      <c r="A278" s="33">
        <f t="shared" si="5"/>
        <v>277</v>
      </c>
      <c r="B278" s="33">
        <v>2</v>
      </c>
      <c r="C278" s="33" t="str">
        <f>発注書!$C$3</f>
        <v>bb02787</v>
      </c>
      <c r="D278" s="33" t="str">
        <f>発注書!$D$3</f>
        <v>イルミナジョブ＆カレッジ千葉中央校</v>
      </c>
      <c r="E278" s="34" t="str">
        <f>発注書!$I$1</f>
        <v xml:space="preserve">2025年12月9日	</v>
      </c>
      <c r="F278" s="33" t="str">
        <f>発注書!K36</f>
        <v/>
      </c>
      <c r="G278" s="33" t="str">
        <f>発注書!L36</f>
        <v/>
      </c>
      <c r="H278" s="33">
        <f>発注書!M36</f>
        <v>0</v>
      </c>
      <c r="I278" s="33">
        <v>0</v>
      </c>
      <c r="J278" s="33" t="str">
        <f t="shared" si="7"/>
        <v/>
      </c>
      <c r="K278" s="33" t="e">
        <f>発注書!$L$5</f>
        <v>#N/A</v>
      </c>
    </row>
    <row r="279" spans="1:11" x14ac:dyDescent="0.15">
      <c r="A279" s="33">
        <f t="shared" si="5"/>
        <v>278</v>
      </c>
      <c r="B279" s="33">
        <v>2</v>
      </c>
      <c r="C279" s="33" t="str">
        <f>発注書!$C$3</f>
        <v>bb02787</v>
      </c>
      <c r="D279" s="33" t="str">
        <f>発注書!$D$3</f>
        <v>イルミナジョブ＆カレッジ千葉中央校</v>
      </c>
      <c r="E279" s="34" t="str">
        <f>発注書!$I$1</f>
        <v xml:space="preserve">2025年12月9日	</v>
      </c>
      <c r="F279" s="33" t="str">
        <f>発注書!K37</f>
        <v/>
      </c>
      <c r="G279" s="33" t="str">
        <f>発注書!L37</f>
        <v/>
      </c>
      <c r="H279" s="33">
        <f>発注書!M37</f>
        <v>0</v>
      </c>
      <c r="I279" s="33">
        <v>0</v>
      </c>
      <c r="J279" s="33" t="str">
        <f t="shared" si="7"/>
        <v/>
      </c>
      <c r="K279" s="33" t="e">
        <f>発注書!$L$5</f>
        <v>#N/A</v>
      </c>
    </row>
    <row r="280" spans="1:11" x14ac:dyDescent="0.15">
      <c r="A280" s="33">
        <f t="shared" si="5"/>
        <v>279</v>
      </c>
      <c r="B280" s="33">
        <v>2</v>
      </c>
      <c r="C280" s="33" t="str">
        <f>発注書!$C$3</f>
        <v>bb02787</v>
      </c>
      <c r="D280" s="33" t="str">
        <f>発注書!$D$3</f>
        <v>イルミナジョブ＆カレッジ千葉中央校</v>
      </c>
      <c r="E280" s="34" t="str">
        <f>発注書!$I$1</f>
        <v xml:space="preserve">2025年12月9日	</v>
      </c>
      <c r="F280" s="33" t="str">
        <f>発注書!K38</f>
        <v/>
      </c>
      <c r="G280" s="33" t="str">
        <f>発注書!L38</f>
        <v/>
      </c>
      <c r="H280" s="33">
        <f>発注書!M38</f>
        <v>0</v>
      </c>
      <c r="I280" s="33">
        <v>0</v>
      </c>
      <c r="J280" s="33" t="str">
        <f t="shared" si="7"/>
        <v/>
      </c>
      <c r="K280" s="33" t="e">
        <f>発注書!$L$5</f>
        <v>#N/A</v>
      </c>
    </row>
    <row r="281" spans="1:11" x14ac:dyDescent="0.15">
      <c r="A281" s="33">
        <f t="shared" si="5"/>
        <v>280</v>
      </c>
      <c r="B281" s="33">
        <v>2</v>
      </c>
      <c r="C281" s="33" t="str">
        <f>発注書!$C$3</f>
        <v>bb02787</v>
      </c>
      <c r="D281" s="33" t="str">
        <f>発注書!$D$3</f>
        <v>イルミナジョブ＆カレッジ千葉中央校</v>
      </c>
      <c r="E281" s="34" t="str">
        <f>発注書!$I$1</f>
        <v xml:space="preserve">2025年12月9日	</v>
      </c>
      <c r="F281" s="33" t="str">
        <f>発注書!K39</f>
        <v/>
      </c>
      <c r="G281" s="33" t="str">
        <f>発注書!L39</f>
        <v/>
      </c>
      <c r="H281" s="33">
        <f>発注書!M39</f>
        <v>0</v>
      </c>
      <c r="I281" s="33">
        <v>0</v>
      </c>
      <c r="J281" s="33" t="str">
        <f t="shared" si="7"/>
        <v/>
      </c>
      <c r="K281" s="33" t="e">
        <f>発注書!$L$5</f>
        <v>#N/A</v>
      </c>
    </row>
    <row r="282" spans="1:11" x14ac:dyDescent="0.15">
      <c r="A282" s="33">
        <f t="shared" si="5"/>
        <v>281</v>
      </c>
      <c r="B282" s="33">
        <v>2</v>
      </c>
      <c r="C282" s="33" t="str">
        <f>発注書!$C$3</f>
        <v>bb02787</v>
      </c>
      <c r="D282" s="33" t="str">
        <f>発注書!$D$3</f>
        <v>イルミナジョブ＆カレッジ千葉中央校</v>
      </c>
      <c r="E282" s="34" t="str">
        <f>発注書!$I$1</f>
        <v xml:space="preserve">2025年12月9日	</v>
      </c>
      <c r="F282" s="33" t="str">
        <f>発注書!K40</f>
        <v/>
      </c>
      <c r="G282" s="33" t="str">
        <f>発注書!L40</f>
        <v/>
      </c>
      <c r="H282" s="33">
        <f>発注書!M40</f>
        <v>0</v>
      </c>
      <c r="I282" s="33">
        <v>0</v>
      </c>
      <c r="J282" s="33" t="str">
        <f t="shared" si="7"/>
        <v/>
      </c>
      <c r="K282" s="33" t="e">
        <f>発注書!$L$5</f>
        <v>#N/A</v>
      </c>
    </row>
    <row r="283" spans="1:11" x14ac:dyDescent="0.15">
      <c r="A283" s="33">
        <f t="shared" si="5"/>
        <v>282</v>
      </c>
      <c r="B283" s="33">
        <v>2</v>
      </c>
      <c r="C283" s="33" t="str">
        <f>発注書!$C$3</f>
        <v>bb02787</v>
      </c>
      <c r="D283" s="33" t="str">
        <f>発注書!$D$3</f>
        <v>イルミナジョブ＆カレッジ千葉中央校</v>
      </c>
      <c r="E283" s="34" t="str">
        <f>発注書!$I$1</f>
        <v xml:space="preserve">2025年12月9日	</v>
      </c>
      <c r="F283" s="33" t="str">
        <f>発注書!K41</f>
        <v/>
      </c>
      <c r="G283" s="33" t="str">
        <f>発注書!L41</f>
        <v/>
      </c>
      <c r="H283" s="33">
        <f>発注書!M41</f>
        <v>0</v>
      </c>
      <c r="I283" s="33">
        <v>0</v>
      </c>
      <c r="J283" s="33" t="str">
        <f t="shared" si="7"/>
        <v/>
      </c>
      <c r="K283" s="33" t="e">
        <f>発注書!$L$5</f>
        <v>#N/A</v>
      </c>
    </row>
    <row r="284" spans="1:11" x14ac:dyDescent="0.15">
      <c r="A284" s="33">
        <f t="shared" si="5"/>
        <v>283</v>
      </c>
      <c r="B284" s="33">
        <v>2</v>
      </c>
      <c r="C284" s="33" t="str">
        <f>発注書!$C$3</f>
        <v>bb02787</v>
      </c>
      <c r="D284" s="33" t="str">
        <f>発注書!$D$3</f>
        <v>イルミナジョブ＆カレッジ千葉中央校</v>
      </c>
      <c r="E284" s="34" t="str">
        <f>発注書!$I$1</f>
        <v xml:space="preserve">2025年12月9日	</v>
      </c>
      <c r="F284" s="33" t="str">
        <f>発注書!K42</f>
        <v/>
      </c>
      <c r="G284" s="33" t="str">
        <f>発注書!L42</f>
        <v/>
      </c>
      <c r="H284" s="33">
        <f>発注書!M42</f>
        <v>0</v>
      </c>
      <c r="I284" s="33">
        <v>0</v>
      </c>
      <c r="J284" s="33" t="str">
        <f t="shared" si="7"/>
        <v/>
      </c>
      <c r="K284" s="33" t="e">
        <f>発注書!$L$5</f>
        <v>#N/A</v>
      </c>
    </row>
    <row r="285" spans="1:11" x14ac:dyDescent="0.15">
      <c r="A285" s="33">
        <f t="shared" si="5"/>
        <v>284</v>
      </c>
      <c r="B285" s="33">
        <v>2</v>
      </c>
      <c r="C285" s="33" t="str">
        <f>発注書!$C$3</f>
        <v>bb02787</v>
      </c>
      <c r="D285" s="33" t="str">
        <f>発注書!$D$3</f>
        <v>イルミナジョブ＆カレッジ千葉中央校</v>
      </c>
      <c r="E285" s="34" t="str">
        <f>発注書!$I$1</f>
        <v xml:space="preserve">2025年12月9日	</v>
      </c>
      <c r="F285" s="33" t="str">
        <f>発注書!K43</f>
        <v/>
      </c>
      <c r="G285" s="33" t="str">
        <f>発注書!L43</f>
        <v/>
      </c>
      <c r="H285" s="33">
        <f>発注書!M43</f>
        <v>0</v>
      </c>
      <c r="I285" s="33">
        <v>0</v>
      </c>
      <c r="J285" s="33" t="str">
        <f t="shared" si="7"/>
        <v/>
      </c>
      <c r="K285" s="33" t="e">
        <f>発注書!$L$5</f>
        <v>#N/A</v>
      </c>
    </row>
    <row r="286" spans="1:11" x14ac:dyDescent="0.15">
      <c r="A286" s="33">
        <f t="shared" si="5"/>
        <v>285</v>
      </c>
      <c r="B286" s="33">
        <v>2</v>
      </c>
      <c r="C286" s="33" t="str">
        <f>発注書!$C$3</f>
        <v>bb02787</v>
      </c>
      <c r="D286" s="33" t="str">
        <f>発注書!$D$3</f>
        <v>イルミナジョブ＆カレッジ千葉中央校</v>
      </c>
      <c r="E286" s="34" t="str">
        <f>発注書!$I$1</f>
        <v xml:space="preserve">2025年12月9日	</v>
      </c>
      <c r="F286" s="33" t="str">
        <f>発注書!K44</f>
        <v/>
      </c>
      <c r="G286" s="33" t="str">
        <f>発注書!L44</f>
        <v/>
      </c>
      <c r="H286" s="33">
        <f>発注書!M44</f>
        <v>0</v>
      </c>
      <c r="I286" s="33">
        <v>0</v>
      </c>
      <c r="J286" s="33" t="str">
        <f t="shared" si="7"/>
        <v/>
      </c>
      <c r="K286" s="33" t="e">
        <f>発注書!$L$5</f>
        <v>#N/A</v>
      </c>
    </row>
    <row r="287" spans="1:11" x14ac:dyDescent="0.15">
      <c r="A287" s="33">
        <f t="shared" si="5"/>
        <v>286</v>
      </c>
      <c r="B287" s="33">
        <v>2</v>
      </c>
      <c r="C287" s="33" t="str">
        <f>発注書!$C$3</f>
        <v>bb02787</v>
      </c>
      <c r="D287" s="33" t="str">
        <f>発注書!$D$3</f>
        <v>イルミナジョブ＆カレッジ千葉中央校</v>
      </c>
      <c r="E287" s="34" t="str">
        <f>発注書!$I$1</f>
        <v xml:space="preserve">2025年12月9日	</v>
      </c>
      <c r="F287" s="33" t="str">
        <f>発注書!K45</f>
        <v/>
      </c>
      <c r="G287" s="33" t="str">
        <f>発注書!L45</f>
        <v/>
      </c>
      <c r="H287" s="33">
        <f>発注書!M45</f>
        <v>0</v>
      </c>
      <c r="I287" s="33">
        <v>0</v>
      </c>
      <c r="J287" s="33" t="str">
        <f t="shared" si="7"/>
        <v/>
      </c>
      <c r="K287" s="33" t="e">
        <f>発注書!$L$5</f>
        <v>#N/A</v>
      </c>
    </row>
    <row r="288" spans="1:11" x14ac:dyDescent="0.15">
      <c r="A288" s="33">
        <f t="shared" si="5"/>
        <v>287</v>
      </c>
      <c r="B288" s="33">
        <v>2</v>
      </c>
      <c r="C288" s="33" t="str">
        <f>発注書!$C$3</f>
        <v>bb02787</v>
      </c>
      <c r="D288" s="33" t="str">
        <f>発注書!$D$3</f>
        <v>イルミナジョブ＆カレッジ千葉中央校</v>
      </c>
      <c r="E288" s="34" t="str">
        <f>発注書!$I$1</f>
        <v xml:space="preserve">2025年12月9日	</v>
      </c>
      <c r="F288" s="33" t="str">
        <f>発注書!K46</f>
        <v/>
      </c>
      <c r="G288" s="33" t="str">
        <f>発注書!L46</f>
        <v/>
      </c>
      <c r="H288" s="33">
        <f>発注書!M46</f>
        <v>0</v>
      </c>
      <c r="I288" s="33">
        <v>0</v>
      </c>
      <c r="J288" s="33" t="str">
        <f t="shared" si="7"/>
        <v/>
      </c>
      <c r="K288" s="33" t="e">
        <f>発注書!$L$5</f>
        <v>#N/A</v>
      </c>
    </row>
    <row r="289" spans="1:11" x14ac:dyDescent="0.15">
      <c r="A289" s="33">
        <f t="shared" si="5"/>
        <v>288</v>
      </c>
      <c r="B289" s="33">
        <v>2</v>
      </c>
      <c r="C289" s="33" t="str">
        <f>発注書!$C$3</f>
        <v>bb02787</v>
      </c>
      <c r="D289" s="33" t="str">
        <f>発注書!$D$3</f>
        <v>イルミナジョブ＆カレッジ千葉中央校</v>
      </c>
      <c r="E289" s="34" t="str">
        <f>発注書!$I$1</f>
        <v xml:space="preserve">2025年12月9日	</v>
      </c>
      <c r="F289" s="33" t="str">
        <f>発注書!K47</f>
        <v/>
      </c>
      <c r="G289" s="33" t="str">
        <f>発注書!L47</f>
        <v/>
      </c>
      <c r="H289" s="33">
        <f>発注書!M47</f>
        <v>0</v>
      </c>
      <c r="I289" s="33">
        <v>0</v>
      </c>
      <c r="J289" s="33" t="str">
        <f t="shared" si="7"/>
        <v/>
      </c>
      <c r="K289" s="33" t="e">
        <f>発注書!$L$5</f>
        <v>#N/A</v>
      </c>
    </row>
    <row r="290" spans="1:11" x14ac:dyDescent="0.15">
      <c r="A290" s="33">
        <f t="shared" si="5"/>
        <v>289</v>
      </c>
      <c r="B290" s="33">
        <v>2</v>
      </c>
      <c r="C290" s="33" t="str">
        <f>発注書!$C$3</f>
        <v>bb02787</v>
      </c>
      <c r="D290" s="33" t="str">
        <f>発注書!$D$3</f>
        <v>イルミナジョブ＆カレッジ千葉中央校</v>
      </c>
      <c r="E290" s="34" t="str">
        <f>発注書!$I$1</f>
        <v xml:space="preserve">2025年12月9日	</v>
      </c>
      <c r="F290" s="33" t="str">
        <f>発注書!K48</f>
        <v/>
      </c>
      <c r="G290" s="33" t="str">
        <f>発注書!L48</f>
        <v/>
      </c>
      <c r="H290" s="33">
        <f>発注書!M48</f>
        <v>0</v>
      </c>
      <c r="I290" s="33">
        <v>0</v>
      </c>
      <c r="J290" s="33" t="str">
        <f t="shared" si="7"/>
        <v/>
      </c>
      <c r="K290" s="33" t="e">
        <f>発注書!$L$5</f>
        <v>#N/A</v>
      </c>
    </row>
    <row r="291" spans="1:11" x14ac:dyDescent="0.15">
      <c r="A291" s="33">
        <f t="shared" si="5"/>
        <v>290</v>
      </c>
      <c r="B291" s="33">
        <v>2</v>
      </c>
      <c r="C291" s="33" t="str">
        <f>発注書!$C$3</f>
        <v>bb02787</v>
      </c>
      <c r="D291" s="33" t="str">
        <f>発注書!$D$3</f>
        <v>イルミナジョブ＆カレッジ千葉中央校</v>
      </c>
      <c r="E291" s="34" t="str">
        <f>発注書!$I$1</f>
        <v xml:space="preserve">2025年12月9日	</v>
      </c>
      <c r="F291" s="33" t="str">
        <f>発注書!K49</f>
        <v/>
      </c>
      <c r="G291" s="33" t="str">
        <f>発注書!L49</f>
        <v/>
      </c>
      <c r="H291" s="33">
        <f>発注書!M49</f>
        <v>0</v>
      </c>
      <c r="I291" s="33">
        <v>0</v>
      </c>
      <c r="J291" s="33" t="str">
        <f t="shared" si="7"/>
        <v/>
      </c>
      <c r="K291" s="33" t="e">
        <f>発注書!$L$5</f>
        <v>#N/A</v>
      </c>
    </row>
    <row r="292" spans="1:11" x14ac:dyDescent="0.15">
      <c r="A292" s="33">
        <f t="shared" si="5"/>
        <v>291</v>
      </c>
      <c r="B292" s="33">
        <v>2</v>
      </c>
      <c r="C292" s="33" t="str">
        <f>発注書!$C$3</f>
        <v>bb02787</v>
      </c>
      <c r="D292" s="33" t="str">
        <f>発注書!$D$3</f>
        <v>イルミナジョブ＆カレッジ千葉中央校</v>
      </c>
      <c r="E292" s="34" t="str">
        <f>発注書!$I$1</f>
        <v xml:space="preserve">2025年12月9日	</v>
      </c>
      <c r="F292" s="33" t="str">
        <f>発注書!K50</f>
        <v/>
      </c>
      <c r="G292" s="33" t="str">
        <f>発注書!L50</f>
        <v/>
      </c>
      <c r="H292" s="33">
        <f>発注書!M50</f>
        <v>0</v>
      </c>
      <c r="I292" s="33">
        <v>0</v>
      </c>
      <c r="J292" s="33" t="str">
        <f t="shared" si="7"/>
        <v/>
      </c>
      <c r="K292" s="33" t="e">
        <f>発注書!$L$5</f>
        <v>#N/A</v>
      </c>
    </row>
    <row r="293" spans="1:11" x14ac:dyDescent="0.15">
      <c r="A293" s="33">
        <f t="shared" si="5"/>
        <v>292</v>
      </c>
      <c r="B293" s="33">
        <v>2</v>
      </c>
      <c r="C293" s="33" t="str">
        <f>発注書!$C$3</f>
        <v>bb02787</v>
      </c>
      <c r="D293" s="33" t="str">
        <f>発注書!$D$3</f>
        <v>イルミナジョブ＆カレッジ千葉中央校</v>
      </c>
      <c r="E293" s="34" t="str">
        <f>発注書!$I$1</f>
        <v xml:space="preserve">2025年12月9日	</v>
      </c>
      <c r="F293" s="33" t="str">
        <f>発注書!K51</f>
        <v/>
      </c>
      <c r="G293" s="33" t="str">
        <f>発注書!L51</f>
        <v/>
      </c>
      <c r="H293" s="33">
        <f>発注書!M51</f>
        <v>0</v>
      </c>
      <c r="I293" s="33">
        <v>0</v>
      </c>
      <c r="J293" s="33" t="str">
        <f t="shared" si="7"/>
        <v/>
      </c>
      <c r="K293" s="33" t="e">
        <f>発注書!$L$5</f>
        <v>#N/A</v>
      </c>
    </row>
    <row r="294" spans="1:11" x14ac:dyDescent="0.15">
      <c r="A294" s="33">
        <f t="shared" si="5"/>
        <v>293</v>
      </c>
      <c r="B294" s="33">
        <v>2</v>
      </c>
      <c r="C294" s="33" t="str">
        <f>発注書!$C$3</f>
        <v>bb02787</v>
      </c>
      <c r="D294" s="33" t="str">
        <f>発注書!$D$3</f>
        <v>イルミナジョブ＆カレッジ千葉中央校</v>
      </c>
      <c r="E294" s="34" t="str">
        <f>発注書!$I$1</f>
        <v xml:space="preserve">2025年12月9日	</v>
      </c>
      <c r="F294" s="33" t="str">
        <f>発注書!K52</f>
        <v/>
      </c>
      <c r="G294" s="33" t="str">
        <f>発注書!L52</f>
        <v/>
      </c>
      <c r="H294" s="33">
        <f>発注書!M52</f>
        <v>0</v>
      </c>
      <c r="I294" s="33">
        <v>0</v>
      </c>
      <c r="J294" s="33" t="str">
        <f t="shared" si="7"/>
        <v/>
      </c>
      <c r="K294" s="33" t="e">
        <f>発注書!$L$5</f>
        <v>#N/A</v>
      </c>
    </row>
    <row r="295" spans="1:11" x14ac:dyDescent="0.15">
      <c r="A295" s="33">
        <f t="shared" si="5"/>
        <v>294</v>
      </c>
      <c r="B295" s="33">
        <v>2</v>
      </c>
      <c r="C295" s="33" t="str">
        <f>発注書!$C$3</f>
        <v>bb02787</v>
      </c>
      <c r="D295" s="33" t="str">
        <f>発注書!$D$3</f>
        <v>イルミナジョブ＆カレッジ千葉中央校</v>
      </c>
      <c r="E295" s="34" t="str">
        <f>発注書!$I$1</f>
        <v xml:space="preserve">2025年12月9日	</v>
      </c>
      <c r="F295" s="33" t="str">
        <f>発注書!K53</f>
        <v/>
      </c>
      <c r="G295" s="33" t="str">
        <f>発注書!L53</f>
        <v/>
      </c>
      <c r="H295" s="33">
        <f>発注書!M53</f>
        <v>0</v>
      </c>
      <c r="I295" s="33">
        <v>0</v>
      </c>
      <c r="J295" s="33" t="str">
        <f t="shared" si="7"/>
        <v/>
      </c>
      <c r="K295" s="33" t="e">
        <f>発注書!$L$5</f>
        <v>#N/A</v>
      </c>
    </row>
    <row r="296" spans="1:11" x14ac:dyDescent="0.15">
      <c r="A296" s="33">
        <f t="shared" si="5"/>
        <v>295</v>
      </c>
      <c r="B296" s="33">
        <v>2</v>
      </c>
      <c r="C296" s="33" t="str">
        <f>発注書!$C$3</f>
        <v>bb02787</v>
      </c>
      <c r="D296" s="33" t="str">
        <f>発注書!$D$3</f>
        <v>イルミナジョブ＆カレッジ千葉中央校</v>
      </c>
      <c r="E296" s="34" t="str">
        <f>発注書!$I$1</f>
        <v xml:space="preserve">2025年12月9日	</v>
      </c>
      <c r="F296" s="33" t="str">
        <f>発注書!K54</f>
        <v/>
      </c>
      <c r="G296" s="33" t="str">
        <f>発注書!L54</f>
        <v/>
      </c>
      <c r="H296" s="33">
        <f>発注書!M54</f>
        <v>0</v>
      </c>
      <c r="I296" s="33">
        <v>0</v>
      </c>
      <c r="J296" s="33" t="str">
        <f t="shared" si="7"/>
        <v/>
      </c>
      <c r="K296" s="33" t="e">
        <f>発注書!$L$5</f>
        <v>#N/A</v>
      </c>
    </row>
    <row r="297" spans="1:11" x14ac:dyDescent="0.15">
      <c r="A297" s="33">
        <f t="shared" si="5"/>
        <v>296</v>
      </c>
      <c r="B297" s="33">
        <v>2</v>
      </c>
      <c r="C297" s="33" t="str">
        <f>発注書!$C$3</f>
        <v>bb02787</v>
      </c>
      <c r="D297" s="33" t="str">
        <f>発注書!$D$3</f>
        <v>イルミナジョブ＆カレッジ千葉中央校</v>
      </c>
      <c r="E297" s="34" t="str">
        <f>発注書!$I$1</f>
        <v xml:space="preserve">2025年12月9日	</v>
      </c>
      <c r="F297" s="33" t="str">
        <f>発注書!K55</f>
        <v/>
      </c>
      <c r="G297" s="33" t="str">
        <f>発注書!L55</f>
        <v/>
      </c>
      <c r="H297" s="33">
        <f>発注書!M55</f>
        <v>0</v>
      </c>
      <c r="I297" s="33">
        <v>0</v>
      </c>
      <c r="J297" s="33" t="str">
        <f t="shared" si="7"/>
        <v/>
      </c>
      <c r="K297" s="33" t="e">
        <f>発注書!$L$5</f>
        <v>#N/A</v>
      </c>
    </row>
    <row r="298" spans="1:11" x14ac:dyDescent="0.15">
      <c r="A298" s="33">
        <f t="shared" si="5"/>
        <v>297</v>
      </c>
      <c r="B298" s="33">
        <v>2</v>
      </c>
      <c r="C298" s="33" t="str">
        <f>発注書!$C$3</f>
        <v>bb02787</v>
      </c>
      <c r="D298" s="33" t="str">
        <f>発注書!$D$3</f>
        <v>イルミナジョブ＆カレッジ千葉中央校</v>
      </c>
      <c r="E298" s="34" t="str">
        <f>発注書!$I$1</f>
        <v xml:space="preserve">2025年12月9日	</v>
      </c>
      <c r="F298" s="33" t="str">
        <f>発注書!K56</f>
        <v/>
      </c>
      <c r="G298" s="33" t="str">
        <f>発注書!L56</f>
        <v/>
      </c>
      <c r="H298" s="33">
        <f>発注書!M56</f>
        <v>0</v>
      </c>
      <c r="I298" s="33">
        <v>0</v>
      </c>
      <c r="J298" s="33" t="str">
        <f t="shared" si="7"/>
        <v/>
      </c>
      <c r="K298" s="33" t="e">
        <f>発注書!$L$5</f>
        <v>#N/A</v>
      </c>
    </row>
    <row r="299" spans="1:11" x14ac:dyDescent="0.15">
      <c r="A299" s="33">
        <f t="shared" si="5"/>
        <v>298</v>
      </c>
      <c r="B299" s="33">
        <v>2</v>
      </c>
      <c r="C299" s="33" t="str">
        <f>発注書!$C$3</f>
        <v>bb02787</v>
      </c>
      <c r="D299" s="33" t="str">
        <f>発注書!$D$3</f>
        <v>イルミナジョブ＆カレッジ千葉中央校</v>
      </c>
      <c r="E299" s="34" t="str">
        <f>発注書!$I$1</f>
        <v xml:space="preserve">2025年12月9日	</v>
      </c>
      <c r="F299" s="33" t="str">
        <f>発注書!K57</f>
        <v/>
      </c>
      <c r="G299" s="33" t="str">
        <f>発注書!L57</f>
        <v/>
      </c>
      <c r="H299" s="33">
        <f>発注書!M57</f>
        <v>0</v>
      </c>
      <c r="I299" s="33">
        <v>0</v>
      </c>
      <c r="J299" s="33" t="str">
        <f t="shared" si="7"/>
        <v/>
      </c>
      <c r="K299" s="33" t="e">
        <f>発注書!$L$5</f>
        <v>#N/A</v>
      </c>
    </row>
    <row r="300" spans="1:11" x14ac:dyDescent="0.15">
      <c r="A300" s="33">
        <f t="shared" si="5"/>
        <v>299</v>
      </c>
      <c r="B300" s="33">
        <v>2</v>
      </c>
      <c r="C300" s="33" t="str">
        <f>発注書!$C$3</f>
        <v>bb02787</v>
      </c>
      <c r="D300" s="33" t="str">
        <f>発注書!$D$3</f>
        <v>イルミナジョブ＆カレッジ千葉中央校</v>
      </c>
      <c r="E300" s="34" t="str">
        <f>発注書!$I$1</f>
        <v xml:space="preserve">2025年12月9日	</v>
      </c>
      <c r="F300" s="33" t="str">
        <f>発注書!K58</f>
        <v/>
      </c>
      <c r="G300" s="33" t="str">
        <f>発注書!L58</f>
        <v/>
      </c>
      <c r="H300" s="33">
        <f>発注書!M58</f>
        <v>0</v>
      </c>
      <c r="I300" s="33">
        <v>0</v>
      </c>
      <c r="J300" s="33" t="str">
        <f t="shared" si="7"/>
        <v/>
      </c>
      <c r="K300" s="33" t="e">
        <f>発注書!$L$5</f>
        <v>#N/A</v>
      </c>
    </row>
    <row r="301" spans="1:11" x14ac:dyDescent="0.15">
      <c r="A301" s="33">
        <f t="shared" si="5"/>
        <v>300</v>
      </c>
      <c r="B301" s="33">
        <v>2</v>
      </c>
      <c r="C301" s="33" t="str">
        <f>発注書!$C$3</f>
        <v>bb02787</v>
      </c>
      <c r="D301" s="33" t="str">
        <f>発注書!$D$3</f>
        <v>イルミナジョブ＆カレッジ千葉中央校</v>
      </c>
      <c r="E301" s="34" t="str">
        <f>発注書!$I$1</f>
        <v xml:space="preserve">2025年12月9日	</v>
      </c>
      <c r="F301" s="33" t="str">
        <f>発注書!K59</f>
        <v/>
      </c>
      <c r="G301" s="33" t="str">
        <f>発注書!L59</f>
        <v/>
      </c>
      <c r="H301" s="33">
        <f>発注書!M59</f>
        <v>0</v>
      </c>
      <c r="I301" s="33">
        <v>0</v>
      </c>
      <c r="J301" s="33" t="str">
        <f t="shared" si="7"/>
        <v/>
      </c>
      <c r="K301" s="33" t="e">
        <f>発注書!$L$5</f>
        <v>#N/A</v>
      </c>
    </row>
    <row r="302" spans="1:11" x14ac:dyDescent="0.15">
      <c r="A302" s="33">
        <f t="shared" si="5"/>
        <v>301</v>
      </c>
      <c r="B302" s="33">
        <v>2</v>
      </c>
      <c r="C302" s="33" t="str">
        <f>発注書!$C$3</f>
        <v>bb02787</v>
      </c>
      <c r="D302" s="33" t="str">
        <f>発注書!$D$3</f>
        <v>イルミナジョブ＆カレッジ千葉中央校</v>
      </c>
      <c r="E302" s="34" t="str">
        <f>発注書!$I$1</f>
        <v xml:space="preserve">2025年12月9日	</v>
      </c>
      <c r="F302" s="33" t="str">
        <f>発注書!K60</f>
        <v/>
      </c>
      <c r="G302" s="33" t="str">
        <f>発注書!L60</f>
        <v/>
      </c>
      <c r="H302" s="33">
        <f>発注書!M60</f>
        <v>0</v>
      </c>
      <c r="I302" s="33">
        <v>0</v>
      </c>
      <c r="J302" s="33" t="str">
        <f t="shared" si="7"/>
        <v/>
      </c>
      <c r="K302" s="33" t="e">
        <f>発注書!$L$5</f>
        <v>#N/A</v>
      </c>
    </row>
    <row r="303" spans="1:11" x14ac:dyDescent="0.15">
      <c r="A303" s="33">
        <f t="shared" si="5"/>
        <v>302</v>
      </c>
      <c r="B303" s="33">
        <v>2</v>
      </c>
      <c r="C303" s="33" t="str">
        <f>発注書!$C$3</f>
        <v>bb02787</v>
      </c>
      <c r="D303" s="33" t="str">
        <f>発注書!$D$3</f>
        <v>イルミナジョブ＆カレッジ千葉中央校</v>
      </c>
      <c r="E303" s="34" t="str">
        <f>発注書!$I$1</f>
        <v xml:space="preserve">2025年12月9日	</v>
      </c>
      <c r="F303" s="33" t="str">
        <f>発注書!K61</f>
        <v/>
      </c>
      <c r="G303" s="33" t="str">
        <f>発注書!L61</f>
        <v/>
      </c>
      <c r="H303" s="33">
        <f>発注書!M61</f>
        <v>0</v>
      </c>
      <c r="I303" s="33">
        <v>0</v>
      </c>
      <c r="J303" s="33" t="str">
        <f t="shared" si="7"/>
        <v/>
      </c>
      <c r="K303" s="33" t="e">
        <f>発注書!$L$5</f>
        <v>#N/A</v>
      </c>
    </row>
    <row r="304" spans="1:11" x14ac:dyDescent="0.15">
      <c r="A304" s="33">
        <f t="shared" si="5"/>
        <v>303</v>
      </c>
      <c r="B304" s="33">
        <v>2</v>
      </c>
      <c r="C304" s="33" t="str">
        <f>発注書!$C$3</f>
        <v>bb02787</v>
      </c>
      <c r="D304" s="33" t="str">
        <f>発注書!$D$3</f>
        <v>イルミナジョブ＆カレッジ千葉中央校</v>
      </c>
      <c r="E304" s="34" t="str">
        <f>発注書!$I$1</f>
        <v xml:space="preserve">2025年12月9日	</v>
      </c>
      <c r="F304" s="33" t="str">
        <f>発注書!K62</f>
        <v/>
      </c>
      <c r="G304" s="33" t="str">
        <f>発注書!L62</f>
        <v/>
      </c>
      <c r="H304" s="33">
        <f>発注書!M62</f>
        <v>0</v>
      </c>
      <c r="I304" s="33">
        <v>0</v>
      </c>
      <c r="J304" s="33" t="str">
        <f t="shared" si="7"/>
        <v/>
      </c>
      <c r="K304" s="33" t="e">
        <f>発注書!$L$5</f>
        <v>#N/A</v>
      </c>
    </row>
    <row r="305" spans="1:11" x14ac:dyDescent="0.15">
      <c r="A305" s="33">
        <f t="shared" si="5"/>
        <v>304</v>
      </c>
      <c r="B305" s="33">
        <v>2</v>
      </c>
      <c r="C305" s="33" t="str">
        <f>発注書!$C$3</f>
        <v>bb02787</v>
      </c>
      <c r="D305" s="33" t="str">
        <f>発注書!$D$3</f>
        <v>イルミナジョブ＆カレッジ千葉中央校</v>
      </c>
      <c r="E305" s="34" t="str">
        <f>発注書!$I$1</f>
        <v xml:space="preserve">2025年12月9日	</v>
      </c>
      <c r="F305" s="33" t="str">
        <f>発注書!K63</f>
        <v/>
      </c>
      <c r="G305" s="33" t="str">
        <f>発注書!L63</f>
        <v/>
      </c>
      <c r="H305" s="33">
        <f>発注書!M63</f>
        <v>0</v>
      </c>
      <c r="I305" s="33">
        <v>0</v>
      </c>
      <c r="J305" s="33" t="str">
        <f t="shared" si="7"/>
        <v/>
      </c>
      <c r="K305" s="33" t="e">
        <f>発注書!$L$5</f>
        <v>#N/A</v>
      </c>
    </row>
    <row r="306" spans="1:11" x14ac:dyDescent="0.15">
      <c r="A306" s="33">
        <f t="shared" si="5"/>
        <v>305</v>
      </c>
      <c r="B306" s="33">
        <v>2</v>
      </c>
      <c r="C306" s="33" t="str">
        <f>発注書!$C$3</f>
        <v>bb02787</v>
      </c>
      <c r="D306" s="33" t="str">
        <f>発注書!$D$3</f>
        <v>イルミナジョブ＆カレッジ千葉中央校</v>
      </c>
      <c r="E306" s="34" t="str">
        <f>発注書!$I$1</f>
        <v xml:space="preserve">2025年12月9日	</v>
      </c>
      <c r="F306" s="33" t="str">
        <f>発注書!K64</f>
        <v/>
      </c>
      <c r="G306" s="33" t="str">
        <f>発注書!L64</f>
        <v/>
      </c>
      <c r="H306" s="33">
        <f>発注書!M64</f>
        <v>0</v>
      </c>
      <c r="I306" s="33">
        <v>0</v>
      </c>
      <c r="J306" s="33" t="str">
        <f t="shared" si="7"/>
        <v/>
      </c>
      <c r="K306" s="33" t="e">
        <f>発注書!$L$5</f>
        <v>#N/A</v>
      </c>
    </row>
    <row r="307" spans="1:11" x14ac:dyDescent="0.15">
      <c r="A307" s="33">
        <f t="shared" si="5"/>
        <v>306</v>
      </c>
      <c r="B307" s="33">
        <v>2</v>
      </c>
      <c r="C307" s="33" t="str">
        <f>発注書!$C$3</f>
        <v>bb02787</v>
      </c>
      <c r="D307" s="33" t="str">
        <f>発注書!$D$3</f>
        <v>イルミナジョブ＆カレッジ千葉中央校</v>
      </c>
      <c r="E307" s="34" t="str">
        <f>発注書!$I$1</f>
        <v xml:space="preserve">2025年12月9日	</v>
      </c>
      <c r="F307" s="33" t="str">
        <f>発注書!K65</f>
        <v/>
      </c>
      <c r="G307" s="33" t="str">
        <f>発注書!L65</f>
        <v/>
      </c>
      <c r="H307" s="33">
        <f>発注書!M65</f>
        <v>0</v>
      </c>
      <c r="I307" s="33">
        <v>0</v>
      </c>
      <c r="J307" s="33" t="str">
        <f t="shared" si="7"/>
        <v/>
      </c>
      <c r="K307" s="33" t="e">
        <f>発注書!$L$5</f>
        <v>#N/A</v>
      </c>
    </row>
    <row r="308" spans="1:11" x14ac:dyDescent="0.15">
      <c r="A308" s="33">
        <f t="shared" si="5"/>
        <v>307</v>
      </c>
      <c r="B308" s="33">
        <v>2</v>
      </c>
      <c r="C308" s="33" t="str">
        <f>発注書!$C$3</f>
        <v>bb02787</v>
      </c>
      <c r="D308" s="33" t="str">
        <f>発注書!$D$3</f>
        <v>イルミナジョブ＆カレッジ千葉中央校</v>
      </c>
      <c r="E308" s="34" t="str">
        <f>発注書!$I$1</f>
        <v xml:space="preserve">2025年12月9日	</v>
      </c>
      <c r="F308" s="33" t="str">
        <f>発注書!K66</f>
        <v/>
      </c>
      <c r="G308" s="33" t="str">
        <f>発注書!L66</f>
        <v/>
      </c>
      <c r="H308" s="33">
        <f>発注書!M66</f>
        <v>0</v>
      </c>
      <c r="I308" s="33">
        <v>0</v>
      </c>
      <c r="J308" s="33" t="str">
        <f t="shared" si="7"/>
        <v/>
      </c>
      <c r="K308" s="33" t="e">
        <f>発注書!$L$5</f>
        <v>#N/A</v>
      </c>
    </row>
    <row r="309" spans="1:11" x14ac:dyDescent="0.15">
      <c r="A309" s="33">
        <f t="shared" si="5"/>
        <v>308</v>
      </c>
      <c r="B309" s="33">
        <v>2</v>
      </c>
      <c r="C309" s="33" t="str">
        <f>発注書!$C$3</f>
        <v>bb02787</v>
      </c>
      <c r="D309" s="33" t="str">
        <f>発注書!$D$3</f>
        <v>イルミナジョブ＆カレッジ千葉中央校</v>
      </c>
      <c r="E309" s="34" t="str">
        <f>発注書!$I$1</f>
        <v xml:space="preserve">2025年12月9日	</v>
      </c>
      <c r="F309" s="33" t="str">
        <f>発注書!K67</f>
        <v/>
      </c>
      <c r="G309" s="33" t="str">
        <f>発注書!L67</f>
        <v/>
      </c>
      <c r="H309" s="33">
        <f>発注書!M67</f>
        <v>0</v>
      </c>
      <c r="I309" s="33">
        <v>0</v>
      </c>
      <c r="J309" s="33" t="str">
        <f t="shared" si="7"/>
        <v/>
      </c>
      <c r="K309" s="33" t="e">
        <f>発注書!$L$5</f>
        <v>#N/A</v>
      </c>
    </row>
    <row r="310" spans="1:11" x14ac:dyDescent="0.15">
      <c r="A310" s="33">
        <f t="shared" si="5"/>
        <v>309</v>
      </c>
      <c r="B310" s="33">
        <v>2</v>
      </c>
      <c r="C310" s="33" t="str">
        <f>発注書!$C$3</f>
        <v>bb02787</v>
      </c>
      <c r="D310" s="33" t="str">
        <f>発注書!$D$3</f>
        <v>イルミナジョブ＆カレッジ千葉中央校</v>
      </c>
      <c r="E310" s="34" t="str">
        <f>発注書!$I$1</f>
        <v xml:space="preserve">2025年12月9日	</v>
      </c>
      <c r="F310" s="33" t="str">
        <f>発注書!K68</f>
        <v/>
      </c>
      <c r="G310" s="33" t="str">
        <f>発注書!L68</f>
        <v/>
      </c>
      <c r="H310" s="33">
        <f>発注書!M68</f>
        <v>0</v>
      </c>
      <c r="I310" s="33">
        <v>0</v>
      </c>
      <c r="J310" s="33" t="str">
        <f t="shared" si="7"/>
        <v/>
      </c>
      <c r="K310" s="33" t="e">
        <f>発注書!$L$5</f>
        <v>#N/A</v>
      </c>
    </row>
    <row r="311" spans="1:11" x14ac:dyDescent="0.15">
      <c r="A311" s="33">
        <f t="shared" si="5"/>
        <v>310</v>
      </c>
      <c r="B311" s="33">
        <v>2</v>
      </c>
      <c r="C311" s="33" t="str">
        <f>発注書!$C$3</f>
        <v>bb02787</v>
      </c>
      <c r="D311" s="33" t="str">
        <f>発注書!$D$3</f>
        <v>イルミナジョブ＆カレッジ千葉中央校</v>
      </c>
      <c r="E311" s="34" t="str">
        <f>発注書!$I$1</f>
        <v xml:space="preserve">2025年12月9日	</v>
      </c>
      <c r="F311" s="33" t="str">
        <f>発注書!K69</f>
        <v/>
      </c>
      <c r="G311" s="33" t="str">
        <f>発注書!L69</f>
        <v/>
      </c>
      <c r="H311" s="33">
        <f>発注書!M69</f>
        <v>0</v>
      </c>
      <c r="I311" s="33">
        <v>0</v>
      </c>
      <c r="J311" s="33" t="str">
        <f t="shared" si="7"/>
        <v/>
      </c>
      <c r="K311" s="33" t="e">
        <f>発注書!$L$5</f>
        <v>#N/A</v>
      </c>
    </row>
    <row r="312" spans="1:11" x14ac:dyDescent="0.15">
      <c r="A312" s="33">
        <f t="shared" si="5"/>
        <v>311</v>
      </c>
      <c r="B312" s="33">
        <v>2</v>
      </c>
      <c r="C312" s="33" t="str">
        <f>発注書!$C$3</f>
        <v>bb02787</v>
      </c>
      <c r="D312" s="33" t="str">
        <f>発注書!$D$3</f>
        <v>イルミナジョブ＆カレッジ千葉中央校</v>
      </c>
      <c r="E312" s="34" t="str">
        <f>発注書!$I$1</f>
        <v xml:space="preserve">2025年12月9日	</v>
      </c>
      <c r="F312" s="33" t="str">
        <f>発注書!K70</f>
        <v/>
      </c>
      <c r="G312" s="33" t="str">
        <f>発注書!L70</f>
        <v/>
      </c>
      <c r="H312" s="33">
        <f>発注書!M70</f>
        <v>0</v>
      </c>
      <c r="I312" s="33">
        <v>0</v>
      </c>
      <c r="J312" s="33" t="str">
        <f t="shared" si="7"/>
        <v/>
      </c>
      <c r="K312" s="33" t="e">
        <f>発注書!$L$5</f>
        <v>#N/A</v>
      </c>
    </row>
    <row r="313" spans="1:11" x14ac:dyDescent="0.15">
      <c r="A313" s="33">
        <f t="shared" si="5"/>
        <v>312</v>
      </c>
      <c r="B313" s="33">
        <v>2</v>
      </c>
      <c r="C313" s="33" t="str">
        <f>発注書!$C$3</f>
        <v>bb02787</v>
      </c>
      <c r="D313" s="33" t="str">
        <f>発注書!$D$3</f>
        <v>イルミナジョブ＆カレッジ千葉中央校</v>
      </c>
      <c r="E313" s="34" t="str">
        <f>発注書!$I$1</f>
        <v xml:space="preserve">2025年12月9日	</v>
      </c>
      <c r="F313" s="33" t="str">
        <f>発注書!K71</f>
        <v/>
      </c>
      <c r="G313" s="33" t="str">
        <f>発注書!L71</f>
        <v/>
      </c>
      <c r="H313" s="33">
        <f>発注書!M71</f>
        <v>0</v>
      </c>
      <c r="I313" s="33">
        <v>0</v>
      </c>
      <c r="J313" s="33" t="str">
        <f t="shared" si="7"/>
        <v/>
      </c>
      <c r="K313" s="33" t="e">
        <f>発注書!$L$5</f>
        <v>#N/A</v>
      </c>
    </row>
    <row r="314" spans="1:11" x14ac:dyDescent="0.15">
      <c r="A314" s="33">
        <f t="shared" si="5"/>
        <v>313</v>
      </c>
      <c r="B314" s="33">
        <v>2</v>
      </c>
      <c r="C314" s="33" t="str">
        <f>発注書!$C$3</f>
        <v>bb02787</v>
      </c>
      <c r="D314" s="33" t="str">
        <f>発注書!$D$3</f>
        <v>イルミナジョブ＆カレッジ千葉中央校</v>
      </c>
      <c r="E314" s="34" t="str">
        <f>発注書!$I$1</f>
        <v xml:space="preserve">2025年12月9日	</v>
      </c>
      <c r="F314" s="33" t="str">
        <f>発注書!K72</f>
        <v/>
      </c>
      <c r="G314" s="33" t="str">
        <f>発注書!L72</f>
        <v/>
      </c>
      <c r="H314" s="33">
        <f>発注書!M72</f>
        <v>0</v>
      </c>
      <c r="I314" s="33">
        <v>0</v>
      </c>
      <c r="J314" s="33" t="str">
        <f t="shared" si="7"/>
        <v/>
      </c>
      <c r="K314" s="33" t="e">
        <f>発注書!$L$5</f>
        <v>#N/A</v>
      </c>
    </row>
    <row r="315" spans="1:11" x14ac:dyDescent="0.15">
      <c r="A315" s="33">
        <f t="shared" si="5"/>
        <v>314</v>
      </c>
      <c r="B315" s="33">
        <v>2</v>
      </c>
      <c r="C315" s="33" t="str">
        <f>発注書!$C$3</f>
        <v>bb02787</v>
      </c>
      <c r="D315" s="33" t="str">
        <f>発注書!$D$3</f>
        <v>イルミナジョブ＆カレッジ千葉中央校</v>
      </c>
      <c r="E315" s="34" t="str">
        <f>発注書!$I$1</f>
        <v xml:space="preserve">2025年12月9日	</v>
      </c>
      <c r="F315" s="33" t="str">
        <f>発注書!K73</f>
        <v/>
      </c>
      <c r="G315" s="33" t="str">
        <f>発注書!L73</f>
        <v/>
      </c>
      <c r="H315" s="33">
        <f>発注書!M73</f>
        <v>0</v>
      </c>
      <c r="I315" s="33">
        <v>0</v>
      </c>
      <c r="J315" s="33" t="str">
        <f t="shared" si="7"/>
        <v/>
      </c>
      <c r="K315" s="33" t="e">
        <f>発注書!$L$5</f>
        <v>#N/A</v>
      </c>
    </row>
    <row r="316" spans="1:11" x14ac:dyDescent="0.15">
      <c r="A316" s="33">
        <f t="shared" si="5"/>
        <v>315</v>
      </c>
      <c r="B316" s="33">
        <v>2</v>
      </c>
      <c r="C316" s="33" t="str">
        <f>発注書!$C$3</f>
        <v>bb02787</v>
      </c>
      <c r="D316" s="33" t="str">
        <f>発注書!$D$3</f>
        <v>イルミナジョブ＆カレッジ千葉中央校</v>
      </c>
      <c r="E316" s="34" t="str">
        <f>発注書!$I$1</f>
        <v xml:space="preserve">2025年12月9日	</v>
      </c>
      <c r="F316" s="33" t="str">
        <f>発注書!K74</f>
        <v/>
      </c>
      <c r="G316" s="33" t="str">
        <f>発注書!L74</f>
        <v/>
      </c>
      <c r="H316" s="33">
        <f>発注書!M74</f>
        <v>0</v>
      </c>
      <c r="I316" s="33">
        <v>0</v>
      </c>
      <c r="J316" s="33" t="str">
        <f t="shared" si="7"/>
        <v/>
      </c>
      <c r="K316" s="33" t="e">
        <f>発注書!$L$5</f>
        <v>#N/A</v>
      </c>
    </row>
    <row r="317" spans="1:11" x14ac:dyDescent="0.15">
      <c r="A317" s="33">
        <f t="shared" si="5"/>
        <v>316</v>
      </c>
      <c r="B317" s="33">
        <v>2</v>
      </c>
      <c r="C317" s="33" t="str">
        <f>発注書!$C$3</f>
        <v>bb02787</v>
      </c>
      <c r="D317" s="33" t="str">
        <f>発注書!$D$3</f>
        <v>イルミナジョブ＆カレッジ千葉中央校</v>
      </c>
      <c r="E317" s="34" t="str">
        <f>発注書!$I$1</f>
        <v xml:space="preserve">2025年12月9日	</v>
      </c>
      <c r="F317" s="33" t="str">
        <f>発注書!K75</f>
        <v/>
      </c>
      <c r="G317" s="33" t="str">
        <f>発注書!L75</f>
        <v/>
      </c>
      <c r="H317" s="33">
        <f>発注書!M75</f>
        <v>0</v>
      </c>
      <c r="I317" s="33">
        <v>0</v>
      </c>
      <c r="J317" s="33" t="str">
        <f t="shared" si="7"/>
        <v/>
      </c>
      <c r="K317" s="33" t="e">
        <f>発注書!$L$5</f>
        <v>#N/A</v>
      </c>
    </row>
    <row r="318" spans="1:11" x14ac:dyDescent="0.15">
      <c r="A318" s="33">
        <f t="shared" si="5"/>
        <v>317</v>
      </c>
      <c r="B318" s="33">
        <v>2</v>
      </c>
      <c r="C318" s="33" t="str">
        <f>発注書!$C$3</f>
        <v>bb02787</v>
      </c>
      <c r="D318" s="33" t="str">
        <f>発注書!$D$3</f>
        <v>イルミナジョブ＆カレッジ千葉中央校</v>
      </c>
      <c r="E318" s="34" t="str">
        <f>発注書!$I$1</f>
        <v xml:space="preserve">2025年12月9日	</v>
      </c>
      <c r="F318" s="33" t="str">
        <f>発注書!K76</f>
        <v/>
      </c>
      <c r="G318" s="33" t="str">
        <f>発注書!L76</f>
        <v/>
      </c>
      <c r="H318" s="33">
        <f>発注書!M76</f>
        <v>0</v>
      </c>
      <c r="I318" s="33">
        <v>0</v>
      </c>
      <c r="J318" s="33" t="str">
        <f t="shared" si="7"/>
        <v/>
      </c>
      <c r="K318" s="33" t="e">
        <f>発注書!$L$5</f>
        <v>#N/A</v>
      </c>
    </row>
    <row r="319" spans="1:11" x14ac:dyDescent="0.15">
      <c r="A319" s="33">
        <f t="shared" si="5"/>
        <v>318</v>
      </c>
      <c r="B319" s="33">
        <v>2</v>
      </c>
      <c r="C319" s="33" t="str">
        <f>発注書!$C$3</f>
        <v>bb02787</v>
      </c>
      <c r="D319" s="33" t="str">
        <f>発注書!$D$3</f>
        <v>イルミナジョブ＆カレッジ千葉中央校</v>
      </c>
      <c r="E319" s="34" t="str">
        <f>発注書!$I$1</f>
        <v xml:space="preserve">2025年12月9日	</v>
      </c>
      <c r="F319" s="33" t="str">
        <f>発注書!K77</f>
        <v/>
      </c>
      <c r="G319" s="33" t="str">
        <f>発注書!L77</f>
        <v/>
      </c>
      <c r="H319" s="33">
        <f>発注書!M77</f>
        <v>0</v>
      </c>
      <c r="I319" s="33">
        <v>0</v>
      </c>
      <c r="J319" s="33" t="str">
        <f t="shared" si="7"/>
        <v/>
      </c>
      <c r="K319" s="33" t="e">
        <f>発注書!$L$5</f>
        <v>#N/A</v>
      </c>
    </row>
    <row r="320" spans="1:11" x14ac:dyDescent="0.15">
      <c r="A320" s="33">
        <f t="shared" si="5"/>
        <v>319</v>
      </c>
      <c r="B320" s="33">
        <v>2</v>
      </c>
      <c r="C320" s="33" t="str">
        <f>発注書!$C$3</f>
        <v>bb02787</v>
      </c>
      <c r="D320" s="33" t="str">
        <f>発注書!$D$3</f>
        <v>イルミナジョブ＆カレッジ千葉中央校</v>
      </c>
      <c r="E320" s="34" t="str">
        <f>発注書!$I$1</f>
        <v xml:space="preserve">2025年12月9日	</v>
      </c>
      <c r="F320" s="33" t="str">
        <f>発注書!K78</f>
        <v/>
      </c>
      <c r="G320" s="33" t="str">
        <f>発注書!L78</f>
        <v/>
      </c>
      <c r="H320" s="33">
        <f>発注書!M78</f>
        <v>0</v>
      </c>
      <c r="I320" s="33">
        <v>0</v>
      </c>
      <c r="J320" s="33" t="str">
        <f t="shared" si="7"/>
        <v/>
      </c>
      <c r="K320" s="33" t="e">
        <f>発注書!$L$5</f>
        <v>#N/A</v>
      </c>
    </row>
    <row r="321" spans="1:11" x14ac:dyDescent="0.15">
      <c r="A321" s="33">
        <f t="shared" si="5"/>
        <v>320</v>
      </c>
      <c r="B321" s="33">
        <v>2</v>
      </c>
      <c r="C321" s="33" t="str">
        <f>発注書!$C$3</f>
        <v>bb02787</v>
      </c>
      <c r="D321" s="33" t="str">
        <f>発注書!$D$3</f>
        <v>イルミナジョブ＆カレッジ千葉中央校</v>
      </c>
      <c r="E321" s="34" t="str">
        <f>発注書!$I$1</f>
        <v xml:space="preserve">2025年12月9日	</v>
      </c>
      <c r="F321" s="33" t="str">
        <f>発注書!K79</f>
        <v/>
      </c>
      <c r="G321" s="33" t="str">
        <f>発注書!L79</f>
        <v/>
      </c>
      <c r="H321" s="33">
        <f>発注書!M79</f>
        <v>0</v>
      </c>
      <c r="I321" s="33">
        <v>0</v>
      </c>
      <c r="J321" s="33" t="str">
        <f t="shared" si="7"/>
        <v/>
      </c>
      <c r="K321" s="33" t="e">
        <f>発注書!$L$5</f>
        <v>#N/A</v>
      </c>
    </row>
    <row r="322" spans="1:11" x14ac:dyDescent="0.15">
      <c r="A322" s="33">
        <f t="shared" si="5"/>
        <v>321</v>
      </c>
      <c r="B322" s="33">
        <v>2</v>
      </c>
      <c r="C322" s="33" t="str">
        <f>発注書!$C$3</f>
        <v>bb02787</v>
      </c>
      <c r="D322" s="33" t="str">
        <f>発注書!$D$3</f>
        <v>イルミナジョブ＆カレッジ千葉中央校</v>
      </c>
      <c r="E322" s="34" t="str">
        <f>発注書!$I$1</f>
        <v xml:space="preserve">2025年12月9日	</v>
      </c>
      <c r="F322" s="33" t="str">
        <f>発注書!K80</f>
        <v/>
      </c>
      <c r="G322" s="33" t="str">
        <f>発注書!L80</f>
        <v/>
      </c>
      <c r="H322" s="33">
        <f>発注書!M80</f>
        <v>0</v>
      </c>
      <c r="I322" s="33">
        <v>0</v>
      </c>
      <c r="J322" s="33" t="str">
        <f t="shared" si="7"/>
        <v/>
      </c>
      <c r="K322" s="33" t="e">
        <f>発注書!$L$5</f>
        <v>#N/A</v>
      </c>
    </row>
    <row r="323" spans="1:11" x14ac:dyDescent="0.15">
      <c r="A323" s="33">
        <f t="shared" si="5"/>
        <v>322</v>
      </c>
      <c r="B323" s="33">
        <v>2</v>
      </c>
      <c r="C323" s="33" t="str">
        <f>発注書!$C$3</f>
        <v>bb02787</v>
      </c>
      <c r="D323" s="33" t="str">
        <f>発注書!$D$3</f>
        <v>イルミナジョブ＆カレッジ千葉中央校</v>
      </c>
      <c r="E323" s="34" t="str">
        <f>発注書!$I$1</f>
        <v xml:space="preserve">2025年12月9日	</v>
      </c>
      <c r="F323" s="33" t="str">
        <f>発注書!K81</f>
        <v/>
      </c>
      <c r="G323" s="33" t="str">
        <f>発注書!L81</f>
        <v/>
      </c>
      <c r="H323" s="33">
        <f>発注書!M81</f>
        <v>0</v>
      </c>
      <c r="I323" s="33">
        <v>0</v>
      </c>
      <c r="J323" s="33" t="str">
        <f t="shared" si="7"/>
        <v/>
      </c>
      <c r="K323" s="33" t="e">
        <f>発注書!$L$5</f>
        <v>#N/A</v>
      </c>
    </row>
    <row r="324" spans="1:11" x14ac:dyDescent="0.15">
      <c r="A324" s="33">
        <f t="shared" si="5"/>
        <v>323</v>
      </c>
      <c r="B324" s="33">
        <v>2</v>
      </c>
      <c r="C324" s="33" t="str">
        <f>発注書!$C$3</f>
        <v>bb02787</v>
      </c>
      <c r="D324" s="33" t="str">
        <f>発注書!$D$3</f>
        <v>イルミナジョブ＆カレッジ千葉中央校</v>
      </c>
      <c r="E324" s="34" t="str">
        <f>発注書!$I$1</f>
        <v xml:space="preserve">2025年12月9日	</v>
      </c>
      <c r="F324" s="33" t="str">
        <f>発注書!K82</f>
        <v/>
      </c>
      <c r="G324" s="33" t="str">
        <f>発注書!L82</f>
        <v/>
      </c>
      <c r="H324" s="33">
        <f>発注書!M82</f>
        <v>0</v>
      </c>
      <c r="I324" s="33">
        <v>0</v>
      </c>
      <c r="J324" s="33" t="str">
        <f t="shared" si="7"/>
        <v/>
      </c>
      <c r="K324" s="33" t="e">
        <f>発注書!$L$5</f>
        <v>#N/A</v>
      </c>
    </row>
    <row r="325" spans="1:11" x14ac:dyDescent="0.15">
      <c r="A325" s="33">
        <f t="shared" si="5"/>
        <v>324</v>
      </c>
      <c r="B325" s="33">
        <v>2</v>
      </c>
      <c r="C325" s="33" t="str">
        <f>発注書!$C$3</f>
        <v>bb02787</v>
      </c>
      <c r="D325" s="33" t="str">
        <f>発注書!$D$3</f>
        <v>イルミナジョブ＆カレッジ千葉中央校</v>
      </c>
      <c r="E325" s="34" t="str">
        <f>発注書!$I$1</f>
        <v xml:space="preserve">2025年12月9日	</v>
      </c>
      <c r="F325" s="33" t="str">
        <f>発注書!K83</f>
        <v/>
      </c>
      <c r="G325" s="33" t="str">
        <f>発注書!L83</f>
        <v/>
      </c>
      <c r="H325" s="33">
        <f>発注書!M83</f>
        <v>0</v>
      </c>
      <c r="I325" s="33">
        <v>0</v>
      </c>
      <c r="J325" s="33" t="str">
        <f t="shared" si="7"/>
        <v/>
      </c>
      <c r="K325" s="33" t="e">
        <f>発注書!$L$5</f>
        <v>#N/A</v>
      </c>
    </row>
    <row r="326" spans="1:11" x14ac:dyDescent="0.15">
      <c r="A326" s="33">
        <f t="shared" si="5"/>
        <v>325</v>
      </c>
      <c r="B326" s="33">
        <v>2</v>
      </c>
      <c r="C326" s="33" t="str">
        <f>発注書!$C$3</f>
        <v>bb02787</v>
      </c>
      <c r="D326" s="33" t="str">
        <f>発注書!$D$3</f>
        <v>イルミナジョブ＆カレッジ千葉中央校</v>
      </c>
      <c r="E326" s="34" t="str">
        <f>発注書!$I$1</f>
        <v xml:space="preserve">2025年12月9日	</v>
      </c>
      <c r="F326" s="33" t="str">
        <f>発注書!K84</f>
        <v/>
      </c>
      <c r="G326" s="33" t="str">
        <f>発注書!L84</f>
        <v/>
      </c>
      <c r="H326" s="33">
        <f>発注書!M84</f>
        <v>0</v>
      </c>
      <c r="I326" s="33">
        <v>0</v>
      </c>
      <c r="J326" s="33" t="str">
        <f t="shared" si="7"/>
        <v/>
      </c>
      <c r="K326" s="33" t="e">
        <f>発注書!$L$5</f>
        <v>#N/A</v>
      </c>
    </row>
    <row r="327" spans="1:11" x14ac:dyDescent="0.15">
      <c r="A327" s="33">
        <f t="shared" si="5"/>
        <v>326</v>
      </c>
      <c r="B327" s="33">
        <v>2</v>
      </c>
      <c r="C327" s="33" t="str">
        <f>発注書!$C$3</f>
        <v>bb02787</v>
      </c>
      <c r="D327" s="33" t="str">
        <f>発注書!$D$3</f>
        <v>イルミナジョブ＆カレッジ千葉中央校</v>
      </c>
      <c r="E327" s="34" t="str">
        <f>発注書!$I$1</f>
        <v xml:space="preserve">2025年12月9日	</v>
      </c>
      <c r="F327" s="33" t="str">
        <f>発注書!K85</f>
        <v/>
      </c>
      <c r="G327" s="33" t="str">
        <f>発注書!L85</f>
        <v/>
      </c>
      <c r="H327" s="33">
        <f>発注書!M85</f>
        <v>0</v>
      </c>
      <c r="I327" s="33">
        <v>0</v>
      </c>
      <c r="J327" s="33" t="str">
        <f t="shared" si="7"/>
        <v/>
      </c>
      <c r="K327" s="33" t="e">
        <f>発注書!$L$5</f>
        <v>#N/A</v>
      </c>
    </row>
    <row r="328" spans="1:11" x14ac:dyDescent="0.15">
      <c r="A328" s="33">
        <f t="shared" si="5"/>
        <v>327</v>
      </c>
      <c r="B328" s="33">
        <v>2</v>
      </c>
      <c r="C328" s="33" t="str">
        <f>発注書!$C$3</f>
        <v>bb02787</v>
      </c>
      <c r="D328" s="33" t="str">
        <f>発注書!$D$3</f>
        <v>イルミナジョブ＆カレッジ千葉中央校</v>
      </c>
      <c r="E328" s="34" t="str">
        <f>発注書!$I$1</f>
        <v xml:space="preserve">2025年12月9日	</v>
      </c>
      <c r="F328" s="33" t="str">
        <f>発注書!K86</f>
        <v/>
      </c>
      <c r="G328" s="33" t="str">
        <f>発注書!L86</f>
        <v/>
      </c>
      <c r="H328" s="33">
        <f>発注書!M86</f>
        <v>0</v>
      </c>
      <c r="I328" s="33">
        <v>0</v>
      </c>
      <c r="J328" s="33" t="str">
        <f t="shared" si="7"/>
        <v/>
      </c>
      <c r="K328" s="33" t="e">
        <f>発注書!$L$5</f>
        <v>#N/A</v>
      </c>
    </row>
    <row r="329" spans="1:11" x14ac:dyDescent="0.15">
      <c r="A329" s="33">
        <f t="shared" si="5"/>
        <v>328</v>
      </c>
      <c r="B329" s="33">
        <v>2</v>
      </c>
      <c r="C329" s="33" t="str">
        <f>発注書!$C$3</f>
        <v>bb02787</v>
      </c>
      <c r="D329" s="33" t="str">
        <f>発注書!$D$3</f>
        <v>イルミナジョブ＆カレッジ千葉中央校</v>
      </c>
      <c r="E329" s="34" t="str">
        <f>発注書!$I$1</f>
        <v xml:space="preserve">2025年12月9日	</v>
      </c>
      <c r="F329" s="33" t="str">
        <f>発注書!N6</f>
        <v/>
      </c>
      <c r="G329" s="33" t="str">
        <f>発注書!O6</f>
        <v/>
      </c>
      <c r="H329" s="33">
        <f>発注書!P6</f>
        <v>0</v>
      </c>
      <c r="I329" s="33">
        <v>0</v>
      </c>
      <c r="J329" s="33" t="str">
        <f t="shared" si="4"/>
        <v/>
      </c>
      <c r="K329" s="33" t="e">
        <f>発注書!$O$5</f>
        <v>#N/A</v>
      </c>
    </row>
    <row r="330" spans="1:11" x14ac:dyDescent="0.15">
      <c r="A330" s="33">
        <f t="shared" si="5"/>
        <v>329</v>
      </c>
      <c r="B330" s="33">
        <v>2</v>
      </c>
      <c r="C330" s="33" t="str">
        <f>発注書!$C$3</f>
        <v>bb02787</v>
      </c>
      <c r="D330" s="33" t="str">
        <f>発注書!$D$3</f>
        <v>イルミナジョブ＆カレッジ千葉中央校</v>
      </c>
      <c r="E330" s="34" t="str">
        <f>発注書!$I$1</f>
        <v xml:space="preserve">2025年12月9日	</v>
      </c>
      <c r="F330" s="33" t="str">
        <f>発注書!N7</f>
        <v/>
      </c>
      <c r="G330" s="33" t="str">
        <f>発注書!O7</f>
        <v/>
      </c>
      <c r="H330" s="33">
        <f>発注書!P7</f>
        <v>0</v>
      </c>
      <c r="I330" s="33">
        <v>0</v>
      </c>
      <c r="J330" s="33" t="str">
        <f t="shared" si="4"/>
        <v/>
      </c>
      <c r="K330" s="33" t="e">
        <f>発注書!$O$5</f>
        <v>#N/A</v>
      </c>
    </row>
    <row r="331" spans="1:11" x14ac:dyDescent="0.15">
      <c r="A331" s="33">
        <f t="shared" si="5"/>
        <v>330</v>
      </c>
      <c r="B331" s="33">
        <v>2</v>
      </c>
      <c r="C331" s="33" t="str">
        <f>発注書!$C$3</f>
        <v>bb02787</v>
      </c>
      <c r="D331" s="33" t="str">
        <f>発注書!$D$3</f>
        <v>イルミナジョブ＆カレッジ千葉中央校</v>
      </c>
      <c r="E331" s="34" t="str">
        <f>発注書!$I$1</f>
        <v xml:space="preserve">2025年12月9日	</v>
      </c>
      <c r="F331" s="33" t="str">
        <f>発注書!N8</f>
        <v/>
      </c>
      <c r="G331" s="33" t="str">
        <f>発注書!O8</f>
        <v/>
      </c>
      <c r="H331" s="33">
        <f>発注書!P8</f>
        <v>0</v>
      </c>
      <c r="I331" s="33">
        <v>0</v>
      </c>
      <c r="J331" s="33" t="str">
        <f t="shared" ref="J331:J356" si="8">LEFT(F331,2)</f>
        <v/>
      </c>
      <c r="K331" s="33" t="e">
        <f>発注書!$O$5</f>
        <v>#N/A</v>
      </c>
    </row>
    <row r="332" spans="1:11" x14ac:dyDescent="0.15">
      <c r="A332" s="33">
        <f t="shared" ref="A332:A409" si="9">ROW()-1</f>
        <v>331</v>
      </c>
      <c r="B332" s="33">
        <v>2</v>
      </c>
      <c r="C332" s="33" t="str">
        <f>発注書!$C$3</f>
        <v>bb02787</v>
      </c>
      <c r="D332" s="33" t="str">
        <f>発注書!$D$3</f>
        <v>イルミナジョブ＆カレッジ千葉中央校</v>
      </c>
      <c r="E332" s="34" t="str">
        <f>発注書!$I$1</f>
        <v xml:space="preserve">2025年12月9日	</v>
      </c>
      <c r="F332" s="33" t="str">
        <f>発注書!N9</f>
        <v/>
      </c>
      <c r="G332" s="33" t="str">
        <f>発注書!O9</f>
        <v/>
      </c>
      <c r="H332" s="33">
        <f>発注書!P9</f>
        <v>0</v>
      </c>
      <c r="I332" s="33">
        <v>0</v>
      </c>
      <c r="J332" s="33" t="str">
        <f t="shared" si="8"/>
        <v/>
      </c>
      <c r="K332" s="33" t="e">
        <f>発注書!$O$5</f>
        <v>#N/A</v>
      </c>
    </row>
    <row r="333" spans="1:11" x14ac:dyDescent="0.15">
      <c r="A333" s="33">
        <f t="shared" si="9"/>
        <v>332</v>
      </c>
      <c r="B333" s="33">
        <v>2</v>
      </c>
      <c r="C333" s="33" t="str">
        <f>発注書!$C$3</f>
        <v>bb02787</v>
      </c>
      <c r="D333" s="33" t="str">
        <f>発注書!$D$3</f>
        <v>イルミナジョブ＆カレッジ千葉中央校</v>
      </c>
      <c r="E333" s="34" t="str">
        <f>発注書!$I$1</f>
        <v xml:space="preserve">2025年12月9日	</v>
      </c>
      <c r="F333" s="33" t="str">
        <f>発注書!N10</f>
        <v/>
      </c>
      <c r="G333" s="33" t="str">
        <f>発注書!O10</f>
        <v/>
      </c>
      <c r="H333" s="33">
        <f>発注書!P10</f>
        <v>0</v>
      </c>
      <c r="I333" s="33">
        <v>0</v>
      </c>
      <c r="J333" s="33" t="str">
        <f t="shared" si="8"/>
        <v/>
      </c>
      <c r="K333" s="33" t="e">
        <f>発注書!$O$5</f>
        <v>#N/A</v>
      </c>
    </row>
    <row r="334" spans="1:11" x14ac:dyDescent="0.15">
      <c r="A334" s="33">
        <f t="shared" si="9"/>
        <v>333</v>
      </c>
      <c r="B334" s="33">
        <v>2</v>
      </c>
      <c r="C334" s="33" t="str">
        <f>発注書!$C$3</f>
        <v>bb02787</v>
      </c>
      <c r="D334" s="33" t="str">
        <f>発注書!$D$3</f>
        <v>イルミナジョブ＆カレッジ千葉中央校</v>
      </c>
      <c r="E334" s="34" t="str">
        <f>発注書!$I$1</f>
        <v xml:space="preserve">2025年12月9日	</v>
      </c>
      <c r="F334" s="33" t="str">
        <f>発注書!N11</f>
        <v/>
      </c>
      <c r="G334" s="33" t="str">
        <f>発注書!O11</f>
        <v/>
      </c>
      <c r="H334" s="33">
        <f>発注書!P11</f>
        <v>0</v>
      </c>
      <c r="I334" s="33">
        <v>0</v>
      </c>
      <c r="J334" s="33" t="str">
        <f t="shared" si="8"/>
        <v/>
      </c>
      <c r="K334" s="33" t="e">
        <f>発注書!$O$5</f>
        <v>#N/A</v>
      </c>
    </row>
    <row r="335" spans="1:11" x14ac:dyDescent="0.15">
      <c r="A335" s="33">
        <f t="shared" si="9"/>
        <v>334</v>
      </c>
      <c r="B335" s="33">
        <v>2</v>
      </c>
      <c r="C335" s="33" t="str">
        <f>発注書!$C$3</f>
        <v>bb02787</v>
      </c>
      <c r="D335" s="33" t="str">
        <f>発注書!$D$3</f>
        <v>イルミナジョブ＆カレッジ千葉中央校</v>
      </c>
      <c r="E335" s="34" t="str">
        <f>発注書!$I$1</f>
        <v xml:space="preserve">2025年12月9日	</v>
      </c>
      <c r="F335" s="33" t="str">
        <f>発注書!N12</f>
        <v/>
      </c>
      <c r="G335" s="33" t="str">
        <f>発注書!O12</f>
        <v/>
      </c>
      <c r="H335" s="33">
        <f>発注書!P12</f>
        <v>0</v>
      </c>
      <c r="I335" s="33">
        <v>0</v>
      </c>
      <c r="J335" s="33" t="str">
        <f t="shared" si="8"/>
        <v/>
      </c>
      <c r="K335" s="33" t="e">
        <f>発注書!$O$5</f>
        <v>#N/A</v>
      </c>
    </row>
    <row r="336" spans="1:11" x14ac:dyDescent="0.15">
      <c r="A336" s="33">
        <f t="shared" si="9"/>
        <v>335</v>
      </c>
      <c r="B336" s="33">
        <v>2</v>
      </c>
      <c r="C336" s="33" t="str">
        <f>発注書!$C$3</f>
        <v>bb02787</v>
      </c>
      <c r="D336" s="33" t="str">
        <f>発注書!$D$3</f>
        <v>イルミナジョブ＆カレッジ千葉中央校</v>
      </c>
      <c r="E336" s="34" t="str">
        <f>発注書!$I$1</f>
        <v xml:space="preserve">2025年12月9日	</v>
      </c>
      <c r="F336" s="33" t="str">
        <f>発注書!N13</f>
        <v/>
      </c>
      <c r="G336" s="33" t="str">
        <f>発注書!O13</f>
        <v/>
      </c>
      <c r="H336" s="33">
        <f>発注書!P13</f>
        <v>0</v>
      </c>
      <c r="I336" s="33">
        <v>0</v>
      </c>
      <c r="J336" s="33" t="str">
        <f t="shared" si="8"/>
        <v/>
      </c>
      <c r="K336" s="33" t="e">
        <f>発注書!$O$5</f>
        <v>#N/A</v>
      </c>
    </row>
    <row r="337" spans="1:11" x14ac:dyDescent="0.15">
      <c r="A337" s="33">
        <f t="shared" si="9"/>
        <v>336</v>
      </c>
      <c r="B337" s="33">
        <v>2</v>
      </c>
      <c r="C337" s="33" t="str">
        <f>発注書!$C$3</f>
        <v>bb02787</v>
      </c>
      <c r="D337" s="33" t="str">
        <f>発注書!$D$3</f>
        <v>イルミナジョブ＆カレッジ千葉中央校</v>
      </c>
      <c r="E337" s="34" t="str">
        <f>発注書!$I$1</f>
        <v xml:space="preserve">2025年12月9日	</v>
      </c>
      <c r="F337" s="33" t="str">
        <f>発注書!N14</f>
        <v/>
      </c>
      <c r="G337" s="33" t="str">
        <f>発注書!O14</f>
        <v/>
      </c>
      <c r="H337" s="33">
        <f>発注書!P14</f>
        <v>0</v>
      </c>
      <c r="I337" s="33">
        <v>0</v>
      </c>
      <c r="J337" s="33" t="str">
        <f t="shared" si="8"/>
        <v/>
      </c>
      <c r="K337" s="33" t="e">
        <f>発注書!$O$5</f>
        <v>#N/A</v>
      </c>
    </row>
    <row r="338" spans="1:11" x14ac:dyDescent="0.15">
      <c r="A338" s="33">
        <f t="shared" si="9"/>
        <v>337</v>
      </c>
      <c r="B338" s="33">
        <v>2</v>
      </c>
      <c r="C338" s="33" t="str">
        <f>発注書!$C$3</f>
        <v>bb02787</v>
      </c>
      <c r="D338" s="33" t="str">
        <f>発注書!$D$3</f>
        <v>イルミナジョブ＆カレッジ千葉中央校</v>
      </c>
      <c r="E338" s="34" t="str">
        <f>発注書!$I$1</f>
        <v xml:space="preserve">2025年12月9日	</v>
      </c>
      <c r="F338" s="33" t="str">
        <f>発注書!N15</f>
        <v/>
      </c>
      <c r="G338" s="33" t="str">
        <f>発注書!O15</f>
        <v/>
      </c>
      <c r="H338" s="33">
        <f>発注書!P15</f>
        <v>0</v>
      </c>
      <c r="I338" s="33">
        <v>0</v>
      </c>
      <c r="J338" s="33" t="str">
        <f t="shared" si="8"/>
        <v/>
      </c>
      <c r="K338" s="33" t="e">
        <f>発注書!$O$5</f>
        <v>#N/A</v>
      </c>
    </row>
    <row r="339" spans="1:11" x14ac:dyDescent="0.15">
      <c r="A339" s="33">
        <f t="shared" si="9"/>
        <v>338</v>
      </c>
      <c r="B339" s="33">
        <v>2</v>
      </c>
      <c r="C339" s="33" t="str">
        <f>発注書!$C$3</f>
        <v>bb02787</v>
      </c>
      <c r="D339" s="33" t="str">
        <f>発注書!$D$3</f>
        <v>イルミナジョブ＆カレッジ千葉中央校</v>
      </c>
      <c r="E339" s="34" t="str">
        <f>発注書!$I$1</f>
        <v xml:space="preserve">2025年12月9日	</v>
      </c>
      <c r="F339" s="33" t="str">
        <f>発注書!N16</f>
        <v/>
      </c>
      <c r="G339" s="33" t="str">
        <f>発注書!O16</f>
        <v/>
      </c>
      <c r="H339" s="33">
        <f>発注書!P16</f>
        <v>0</v>
      </c>
      <c r="I339" s="33">
        <v>0</v>
      </c>
      <c r="J339" s="33" t="str">
        <f t="shared" si="8"/>
        <v/>
      </c>
      <c r="K339" s="33" t="e">
        <f>発注書!$O$5</f>
        <v>#N/A</v>
      </c>
    </row>
    <row r="340" spans="1:11" x14ac:dyDescent="0.15">
      <c r="A340" s="33">
        <f t="shared" si="9"/>
        <v>339</v>
      </c>
      <c r="B340" s="33">
        <v>2</v>
      </c>
      <c r="C340" s="33" t="str">
        <f>発注書!$C$3</f>
        <v>bb02787</v>
      </c>
      <c r="D340" s="33" t="str">
        <f>発注書!$D$3</f>
        <v>イルミナジョブ＆カレッジ千葉中央校</v>
      </c>
      <c r="E340" s="34" t="str">
        <f>発注書!$I$1</f>
        <v xml:space="preserve">2025年12月9日	</v>
      </c>
      <c r="F340" s="33" t="str">
        <f>発注書!N17</f>
        <v/>
      </c>
      <c r="G340" s="33" t="str">
        <f>発注書!O17</f>
        <v/>
      </c>
      <c r="H340" s="33">
        <f>発注書!P17</f>
        <v>0</v>
      </c>
      <c r="I340" s="33">
        <v>0</v>
      </c>
      <c r="J340" s="33" t="str">
        <f t="shared" si="8"/>
        <v/>
      </c>
      <c r="K340" s="33" t="e">
        <f>発注書!$O$5</f>
        <v>#N/A</v>
      </c>
    </row>
    <row r="341" spans="1:11" x14ac:dyDescent="0.15">
      <c r="A341" s="33">
        <f t="shared" si="9"/>
        <v>340</v>
      </c>
      <c r="B341" s="33">
        <v>2</v>
      </c>
      <c r="C341" s="33" t="str">
        <f>発注書!$C$3</f>
        <v>bb02787</v>
      </c>
      <c r="D341" s="33" t="str">
        <f>発注書!$D$3</f>
        <v>イルミナジョブ＆カレッジ千葉中央校</v>
      </c>
      <c r="E341" s="34" t="str">
        <f>発注書!$I$1</f>
        <v xml:space="preserve">2025年12月9日	</v>
      </c>
      <c r="F341" s="33" t="str">
        <f>発注書!N18</f>
        <v/>
      </c>
      <c r="G341" s="33" t="str">
        <f>発注書!O18</f>
        <v/>
      </c>
      <c r="H341" s="33">
        <f>発注書!P18</f>
        <v>0</v>
      </c>
      <c r="I341" s="33">
        <v>0</v>
      </c>
      <c r="J341" s="33" t="str">
        <f t="shared" si="8"/>
        <v/>
      </c>
      <c r="K341" s="33" t="e">
        <f>発注書!$O$5</f>
        <v>#N/A</v>
      </c>
    </row>
    <row r="342" spans="1:11" x14ac:dyDescent="0.15">
      <c r="A342" s="33">
        <f t="shared" si="9"/>
        <v>341</v>
      </c>
      <c r="B342" s="33">
        <v>2</v>
      </c>
      <c r="C342" s="33" t="str">
        <f>発注書!$C$3</f>
        <v>bb02787</v>
      </c>
      <c r="D342" s="33" t="str">
        <f>発注書!$D$3</f>
        <v>イルミナジョブ＆カレッジ千葉中央校</v>
      </c>
      <c r="E342" s="34" t="str">
        <f>発注書!$I$1</f>
        <v xml:space="preserve">2025年12月9日	</v>
      </c>
      <c r="F342" s="33" t="str">
        <f>発注書!N19</f>
        <v/>
      </c>
      <c r="G342" s="33" t="str">
        <f>発注書!O19</f>
        <v/>
      </c>
      <c r="H342" s="33">
        <f>発注書!P19</f>
        <v>0</v>
      </c>
      <c r="I342" s="33">
        <v>0</v>
      </c>
      <c r="J342" s="33" t="str">
        <f t="shared" si="8"/>
        <v/>
      </c>
      <c r="K342" s="33" t="e">
        <f>発注書!$O$5</f>
        <v>#N/A</v>
      </c>
    </row>
    <row r="343" spans="1:11" x14ac:dyDescent="0.15">
      <c r="A343" s="33">
        <f t="shared" si="9"/>
        <v>342</v>
      </c>
      <c r="B343" s="33">
        <v>2</v>
      </c>
      <c r="C343" s="33" t="str">
        <f>発注書!$C$3</f>
        <v>bb02787</v>
      </c>
      <c r="D343" s="33" t="str">
        <f>発注書!$D$3</f>
        <v>イルミナジョブ＆カレッジ千葉中央校</v>
      </c>
      <c r="E343" s="34" t="str">
        <f>発注書!$I$1</f>
        <v xml:space="preserve">2025年12月9日	</v>
      </c>
      <c r="F343" s="33" t="str">
        <f>発注書!N20</f>
        <v/>
      </c>
      <c r="G343" s="33" t="str">
        <f>発注書!O20</f>
        <v/>
      </c>
      <c r="H343" s="33">
        <f>発注書!P20</f>
        <v>0</v>
      </c>
      <c r="I343" s="33">
        <v>0</v>
      </c>
      <c r="J343" s="33" t="str">
        <f t="shared" si="8"/>
        <v/>
      </c>
      <c r="K343" s="33" t="e">
        <f>発注書!$O$5</f>
        <v>#N/A</v>
      </c>
    </row>
    <row r="344" spans="1:11" x14ac:dyDescent="0.15">
      <c r="A344" s="33">
        <f t="shared" si="9"/>
        <v>343</v>
      </c>
      <c r="B344" s="33">
        <v>2</v>
      </c>
      <c r="C344" s="33" t="str">
        <f>発注書!$C$3</f>
        <v>bb02787</v>
      </c>
      <c r="D344" s="33" t="str">
        <f>発注書!$D$3</f>
        <v>イルミナジョブ＆カレッジ千葉中央校</v>
      </c>
      <c r="E344" s="34" t="str">
        <f>発注書!$I$1</f>
        <v xml:space="preserve">2025年12月9日	</v>
      </c>
      <c r="F344" s="33" t="str">
        <f>発注書!N21</f>
        <v/>
      </c>
      <c r="G344" s="33" t="str">
        <f>発注書!O21</f>
        <v/>
      </c>
      <c r="H344" s="33">
        <f>発注書!P21</f>
        <v>0</v>
      </c>
      <c r="I344" s="33">
        <v>0</v>
      </c>
      <c r="J344" s="33" t="str">
        <f t="shared" si="8"/>
        <v/>
      </c>
      <c r="K344" s="33" t="e">
        <f>発注書!$O$5</f>
        <v>#N/A</v>
      </c>
    </row>
    <row r="345" spans="1:11" x14ac:dyDescent="0.15">
      <c r="A345" s="33">
        <f t="shared" si="9"/>
        <v>344</v>
      </c>
      <c r="B345" s="33">
        <v>2</v>
      </c>
      <c r="C345" s="33" t="str">
        <f>発注書!$C$3</f>
        <v>bb02787</v>
      </c>
      <c r="D345" s="33" t="str">
        <f>発注書!$D$3</f>
        <v>イルミナジョブ＆カレッジ千葉中央校</v>
      </c>
      <c r="E345" s="34" t="str">
        <f>発注書!$I$1</f>
        <v xml:space="preserve">2025年12月9日	</v>
      </c>
      <c r="F345" s="33" t="str">
        <f>発注書!N22</f>
        <v/>
      </c>
      <c r="G345" s="33" t="str">
        <f>発注書!O22</f>
        <v/>
      </c>
      <c r="H345" s="33">
        <f>発注書!P22</f>
        <v>0</v>
      </c>
      <c r="I345" s="33">
        <v>0</v>
      </c>
      <c r="J345" s="33" t="str">
        <f t="shared" si="8"/>
        <v/>
      </c>
      <c r="K345" s="33" t="e">
        <f>発注書!$O$5</f>
        <v>#N/A</v>
      </c>
    </row>
    <row r="346" spans="1:11" x14ac:dyDescent="0.15">
      <c r="A346" s="33">
        <f t="shared" si="9"/>
        <v>345</v>
      </c>
      <c r="B346" s="33">
        <v>2</v>
      </c>
      <c r="C346" s="33" t="str">
        <f>発注書!$C$3</f>
        <v>bb02787</v>
      </c>
      <c r="D346" s="33" t="str">
        <f>発注書!$D$3</f>
        <v>イルミナジョブ＆カレッジ千葉中央校</v>
      </c>
      <c r="E346" s="34" t="str">
        <f>発注書!$I$1</f>
        <v xml:space="preserve">2025年12月9日	</v>
      </c>
      <c r="F346" s="33" t="str">
        <f>発注書!N23</f>
        <v/>
      </c>
      <c r="G346" s="33" t="str">
        <f>発注書!O23</f>
        <v/>
      </c>
      <c r="H346" s="33">
        <f>発注書!P23</f>
        <v>0</v>
      </c>
      <c r="I346" s="33">
        <v>0</v>
      </c>
      <c r="J346" s="33" t="str">
        <f t="shared" si="8"/>
        <v/>
      </c>
      <c r="K346" s="33" t="e">
        <f>発注書!$O$5</f>
        <v>#N/A</v>
      </c>
    </row>
    <row r="347" spans="1:11" x14ac:dyDescent="0.15">
      <c r="A347" s="33">
        <f t="shared" si="9"/>
        <v>346</v>
      </c>
      <c r="B347" s="33">
        <v>2</v>
      </c>
      <c r="C347" s="33" t="str">
        <f>発注書!$C$3</f>
        <v>bb02787</v>
      </c>
      <c r="D347" s="33" t="str">
        <f>発注書!$D$3</f>
        <v>イルミナジョブ＆カレッジ千葉中央校</v>
      </c>
      <c r="E347" s="34" t="str">
        <f>発注書!$I$1</f>
        <v xml:space="preserve">2025年12月9日	</v>
      </c>
      <c r="F347" s="33" t="str">
        <f>発注書!N24</f>
        <v/>
      </c>
      <c r="G347" s="33" t="str">
        <f>発注書!O24</f>
        <v/>
      </c>
      <c r="H347" s="33">
        <f>発注書!P24</f>
        <v>0</v>
      </c>
      <c r="I347" s="33">
        <v>0</v>
      </c>
      <c r="J347" s="33" t="str">
        <f t="shared" si="8"/>
        <v/>
      </c>
      <c r="K347" s="33" t="e">
        <f>発注書!$O$5</f>
        <v>#N/A</v>
      </c>
    </row>
    <row r="348" spans="1:11" x14ac:dyDescent="0.15">
      <c r="A348" s="33">
        <f t="shared" si="9"/>
        <v>347</v>
      </c>
      <c r="B348" s="33">
        <v>2</v>
      </c>
      <c r="C348" s="33" t="str">
        <f>発注書!$C$3</f>
        <v>bb02787</v>
      </c>
      <c r="D348" s="33" t="str">
        <f>発注書!$D$3</f>
        <v>イルミナジョブ＆カレッジ千葉中央校</v>
      </c>
      <c r="E348" s="34" t="str">
        <f>発注書!$I$1</f>
        <v xml:space="preserve">2025年12月9日	</v>
      </c>
      <c r="F348" s="33" t="str">
        <f>発注書!N25</f>
        <v/>
      </c>
      <c r="G348" s="33" t="str">
        <f>発注書!O25</f>
        <v/>
      </c>
      <c r="H348" s="33">
        <f>発注書!P25</f>
        <v>0</v>
      </c>
      <c r="I348" s="33">
        <v>0</v>
      </c>
      <c r="J348" s="33" t="str">
        <f t="shared" si="8"/>
        <v/>
      </c>
      <c r="K348" s="33" t="e">
        <f>発注書!$O$5</f>
        <v>#N/A</v>
      </c>
    </row>
    <row r="349" spans="1:11" x14ac:dyDescent="0.15">
      <c r="A349" s="33">
        <f t="shared" si="9"/>
        <v>348</v>
      </c>
      <c r="B349" s="33">
        <v>2</v>
      </c>
      <c r="C349" s="33" t="str">
        <f>発注書!$C$3</f>
        <v>bb02787</v>
      </c>
      <c r="D349" s="33" t="str">
        <f>発注書!$D$3</f>
        <v>イルミナジョブ＆カレッジ千葉中央校</v>
      </c>
      <c r="E349" s="34" t="str">
        <f>発注書!$I$1</f>
        <v xml:space="preserve">2025年12月9日	</v>
      </c>
      <c r="F349" s="33" t="str">
        <f>発注書!N26</f>
        <v/>
      </c>
      <c r="G349" s="33" t="str">
        <f>発注書!O26</f>
        <v/>
      </c>
      <c r="H349" s="33">
        <f>発注書!P26</f>
        <v>0</v>
      </c>
      <c r="I349" s="33">
        <v>0</v>
      </c>
      <c r="J349" s="33" t="str">
        <f t="shared" si="8"/>
        <v/>
      </c>
      <c r="K349" s="33" t="e">
        <f>発注書!$O$5</f>
        <v>#N/A</v>
      </c>
    </row>
    <row r="350" spans="1:11" x14ac:dyDescent="0.15">
      <c r="A350" s="33">
        <f t="shared" si="9"/>
        <v>349</v>
      </c>
      <c r="B350" s="33">
        <v>2</v>
      </c>
      <c r="C350" s="33" t="str">
        <f>発注書!$C$3</f>
        <v>bb02787</v>
      </c>
      <c r="D350" s="33" t="str">
        <f>発注書!$D$3</f>
        <v>イルミナジョブ＆カレッジ千葉中央校</v>
      </c>
      <c r="E350" s="34" t="str">
        <f>発注書!$I$1</f>
        <v xml:space="preserve">2025年12月9日	</v>
      </c>
      <c r="F350" s="33" t="str">
        <f>発注書!N27</f>
        <v/>
      </c>
      <c r="G350" s="33" t="str">
        <f>発注書!O27</f>
        <v/>
      </c>
      <c r="H350" s="33">
        <f>発注書!P27</f>
        <v>0</v>
      </c>
      <c r="I350" s="33">
        <v>0</v>
      </c>
      <c r="J350" s="33" t="str">
        <f t="shared" si="8"/>
        <v/>
      </c>
      <c r="K350" s="33" t="e">
        <f>発注書!$O$5</f>
        <v>#N/A</v>
      </c>
    </row>
    <row r="351" spans="1:11" x14ac:dyDescent="0.15">
      <c r="A351" s="33">
        <f t="shared" si="9"/>
        <v>350</v>
      </c>
      <c r="B351" s="33">
        <v>2</v>
      </c>
      <c r="C351" s="33" t="str">
        <f>発注書!$C$3</f>
        <v>bb02787</v>
      </c>
      <c r="D351" s="33" t="str">
        <f>発注書!$D$3</f>
        <v>イルミナジョブ＆カレッジ千葉中央校</v>
      </c>
      <c r="E351" s="34" t="str">
        <f>発注書!$I$1</f>
        <v xml:space="preserve">2025年12月9日	</v>
      </c>
      <c r="F351" s="33" t="str">
        <f>発注書!N28</f>
        <v/>
      </c>
      <c r="G351" s="33" t="str">
        <f>発注書!O28</f>
        <v/>
      </c>
      <c r="H351" s="33">
        <f>発注書!P28</f>
        <v>0</v>
      </c>
      <c r="I351" s="33">
        <v>0</v>
      </c>
      <c r="J351" s="33" t="str">
        <f t="shared" si="8"/>
        <v/>
      </c>
      <c r="K351" s="33" t="e">
        <f>発注書!$O$5</f>
        <v>#N/A</v>
      </c>
    </row>
    <row r="352" spans="1:11" x14ac:dyDescent="0.15">
      <c r="A352" s="33">
        <f t="shared" si="9"/>
        <v>351</v>
      </c>
      <c r="B352" s="33">
        <v>2</v>
      </c>
      <c r="C352" s="33" t="str">
        <f>発注書!$C$3</f>
        <v>bb02787</v>
      </c>
      <c r="D352" s="33" t="str">
        <f>発注書!$D$3</f>
        <v>イルミナジョブ＆カレッジ千葉中央校</v>
      </c>
      <c r="E352" s="34" t="str">
        <f>発注書!$I$1</f>
        <v xml:space="preserve">2025年12月9日	</v>
      </c>
      <c r="F352" s="33" t="str">
        <f>発注書!N29</f>
        <v/>
      </c>
      <c r="G352" s="33" t="str">
        <f>発注書!O29</f>
        <v/>
      </c>
      <c r="H352" s="33">
        <f>発注書!P29</f>
        <v>0</v>
      </c>
      <c r="I352" s="33">
        <v>0</v>
      </c>
      <c r="J352" s="33" t="str">
        <f t="shared" si="8"/>
        <v/>
      </c>
      <c r="K352" s="33" t="e">
        <f>発注書!$O$5</f>
        <v>#N/A</v>
      </c>
    </row>
    <row r="353" spans="1:11" x14ac:dyDescent="0.15">
      <c r="A353" s="33">
        <f t="shared" si="9"/>
        <v>352</v>
      </c>
      <c r="B353" s="33">
        <v>2</v>
      </c>
      <c r="C353" s="33" t="str">
        <f>発注書!$C$3</f>
        <v>bb02787</v>
      </c>
      <c r="D353" s="33" t="str">
        <f>発注書!$D$3</f>
        <v>イルミナジョブ＆カレッジ千葉中央校</v>
      </c>
      <c r="E353" s="34" t="str">
        <f>発注書!$I$1</f>
        <v xml:space="preserve">2025年12月9日	</v>
      </c>
      <c r="F353" s="33" t="str">
        <f>発注書!N30</f>
        <v/>
      </c>
      <c r="G353" s="33" t="str">
        <f>発注書!O30</f>
        <v/>
      </c>
      <c r="H353" s="33">
        <f>発注書!P30</f>
        <v>0</v>
      </c>
      <c r="I353" s="33">
        <v>0</v>
      </c>
      <c r="J353" s="33" t="str">
        <f t="shared" si="8"/>
        <v/>
      </c>
      <c r="K353" s="33" t="e">
        <f>発注書!$O$5</f>
        <v>#N/A</v>
      </c>
    </row>
    <row r="354" spans="1:11" x14ac:dyDescent="0.15">
      <c r="A354" s="33">
        <f t="shared" si="9"/>
        <v>353</v>
      </c>
      <c r="B354" s="33">
        <v>2</v>
      </c>
      <c r="C354" s="33" t="str">
        <f>発注書!$C$3</f>
        <v>bb02787</v>
      </c>
      <c r="D354" s="33" t="str">
        <f>発注書!$D$3</f>
        <v>イルミナジョブ＆カレッジ千葉中央校</v>
      </c>
      <c r="E354" s="34" t="str">
        <f>発注書!$I$1</f>
        <v xml:space="preserve">2025年12月9日	</v>
      </c>
      <c r="F354" s="33" t="str">
        <f>発注書!N31</f>
        <v/>
      </c>
      <c r="G354" s="33" t="str">
        <f>発注書!O31</f>
        <v/>
      </c>
      <c r="H354" s="33">
        <f>発注書!P31</f>
        <v>0</v>
      </c>
      <c r="I354" s="33">
        <v>0</v>
      </c>
      <c r="J354" s="33" t="str">
        <f t="shared" si="8"/>
        <v/>
      </c>
      <c r="K354" s="33" t="e">
        <f>発注書!$O$5</f>
        <v>#N/A</v>
      </c>
    </row>
    <row r="355" spans="1:11" x14ac:dyDescent="0.15">
      <c r="A355" s="33">
        <f t="shared" si="9"/>
        <v>354</v>
      </c>
      <c r="B355" s="33">
        <v>2</v>
      </c>
      <c r="C355" s="33" t="str">
        <f>発注書!$C$3</f>
        <v>bb02787</v>
      </c>
      <c r="D355" s="33" t="str">
        <f>発注書!$D$3</f>
        <v>イルミナジョブ＆カレッジ千葉中央校</v>
      </c>
      <c r="E355" s="34" t="str">
        <f>発注書!$I$1</f>
        <v xml:space="preserve">2025年12月9日	</v>
      </c>
      <c r="F355" s="33" t="str">
        <f>発注書!N32</f>
        <v/>
      </c>
      <c r="G355" s="33" t="str">
        <f>発注書!O32</f>
        <v/>
      </c>
      <c r="H355" s="33">
        <f>発注書!P32</f>
        <v>0</v>
      </c>
      <c r="I355" s="33">
        <v>0</v>
      </c>
      <c r="J355" s="33" t="str">
        <f t="shared" si="8"/>
        <v/>
      </c>
      <c r="K355" s="33" t="e">
        <f>発注書!$O$5</f>
        <v>#N/A</v>
      </c>
    </row>
    <row r="356" spans="1:11" x14ac:dyDescent="0.15">
      <c r="A356" s="33">
        <f t="shared" si="9"/>
        <v>355</v>
      </c>
      <c r="B356" s="33">
        <v>2</v>
      </c>
      <c r="C356" s="33" t="str">
        <f>発注書!$C$3</f>
        <v>bb02787</v>
      </c>
      <c r="D356" s="33" t="str">
        <f>発注書!$D$3</f>
        <v>イルミナジョブ＆カレッジ千葉中央校</v>
      </c>
      <c r="E356" s="34" t="str">
        <f>発注書!$I$1</f>
        <v xml:space="preserve">2025年12月9日	</v>
      </c>
      <c r="F356" s="33" t="str">
        <f>発注書!N33</f>
        <v/>
      </c>
      <c r="G356" s="33" t="str">
        <f>発注書!O33</f>
        <v/>
      </c>
      <c r="H356" s="33">
        <f>発注書!P33</f>
        <v>0</v>
      </c>
      <c r="I356" s="33">
        <v>0</v>
      </c>
      <c r="J356" s="33" t="str">
        <f t="shared" si="8"/>
        <v/>
      </c>
      <c r="K356" s="33" t="e">
        <f>発注書!$O$5</f>
        <v>#N/A</v>
      </c>
    </row>
    <row r="357" spans="1:11" x14ac:dyDescent="0.15">
      <c r="A357" s="33">
        <f t="shared" si="9"/>
        <v>356</v>
      </c>
      <c r="B357" s="33">
        <v>2</v>
      </c>
      <c r="C357" s="33" t="str">
        <f>発注書!$C$3</f>
        <v>bb02787</v>
      </c>
      <c r="D357" s="33" t="str">
        <f>発注書!$D$3</f>
        <v>イルミナジョブ＆カレッジ千葉中央校</v>
      </c>
      <c r="E357" s="34" t="str">
        <f>発注書!$I$1</f>
        <v xml:space="preserve">2025年12月9日	</v>
      </c>
      <c r="F357" s="33" t="str">
        <f>発注書!N34</f>
        <v/>
      </c>
      <c r="G357" s="33" t="str">
        <f>発注書!O34</f>
        <v/>
      </c>
      <c r="H357" s="33">
        <f>発注書!P34</f>
        <v>0</v>
      </c>
      <c r="I357" s="33">
        <v>0</v>
      </c>
      <c r="J357" s="33" t="str">
        <f t="shared" ref="J357:J409" si="10">LEFT(F357,2)</f>
        <v/>
      </c>
      <c r="K357" s="33" t="e">
        <f>発注書!$O$5</f>
        <v>#N/A</v>
      </c>
    </row>
    <row r="358" spans="1:11" x14ac:dyDescent="0.15">
      <c r="A358" s="33">
        <f t="shared" si="9"/>
        <v>357</v>
      </c>
      <c r="B358" s="33">
        <v>2</v>
      </c>
      <c r="C358" s="33" t="str">
        <f>発注書!$C$3</f>
        <v>bb02787</v>
      </c>
      <c r="D358" s="33" t="str">
        <f>発注書!$D$3</f>
        <v>イルミナジョブ＆カレッジ千葉中央校</v>
      </c>
      <c r="E358" s="34" t="str">
        <f>発注書!$I$1</f>
        <v xml:space="preserve">2025年12月9日	</v>
      </c>
      <c r="F358" s="33" t="str">
        <f>発注書!N35</f>
        <v/>
      </c>
      <c r="G358" s="33" t="str">
        <f>発注書!O35</f>
        <v/>
      </c>
      <c r="H358" s="33">
        <f>発注書!P35</f>
        <v>0</v>
      </c>
      <c r="I358" s="33">
        <v>0</v>
      </c>
      <c r="J358" s="33" t="str">
        <f t="shared" si="10"/>
        <v/>
      </c>
      <c r="K358" s="33" t="e">
        <f>発注書!$O$5</f>
        <v>#N/A</v>
      </c>
    </row>
    <row r="359" spans="1:11" x14ac:dyDescent="0.15">
      <c r="A359" s="33">
        <f t="shared" si="9"/>
        <v>358</v>
      </c>
      <c r="B359" s="33">
        <v>2</v>
      </c>
      <c r="C359" s="33" t="str">
        <f>発注書!$C$3</f>
        <v>bb02787</v>
      </c>
      <c r="D359" s="33" t="str">
        <f>発注書!$D$3</f>
        <v>イルミナジョブ＆カレッジ千葉中央校</v>
      </c>
      <c r="E359" s="34" t="str">
        <f>発注書!$I$1</f>
        <v xml:space="preserve">2025年12月9日	</v>
      </c>
      <c r="F359" s="33" t="str">
        <f>発注書!N36</f>
        <v/>
      </c>
      <c r="G359" s="33" t="str">
        <f>発注書!O36</f>
        <v/>
      </c>
      <c r="H359" s="33">
        <f>発注書!P36</f>
        <v>0</v>
      </c>
      <c r="I359" s="33">
        <v>0</v>
      </c>
      <c r="J359" s="33" t="str">
        <f t="shared" si="10"/>
        <v/>
      </c>
      <c r="K359" s="33" t="e">
        <f>発注書!$O$5</f>
        <v>#N/A</v>
      </c>
    </row>
    <row r="360" spans="1:11" x14ac:dyDescent="0.15">
      <c r="A360" s="33">
        <f t="shared" si="9"/>
        <v>359</v>
      </c>
      <c r="B360" s="33">
        <v>2</v>
      </c>
      <c r="C360" s="33" t="str">
        <f>発注書!$C$3</f>
        <v>bb02787</v>
      </c>
      <c r="D360" s="33" t="str">
        <f>発注書!$D$3</f>
        <v>イルミナジョブ＆カレッジ千葉中央校</v>
      </c>
      <c r="E360" s="34" t="str">
        <f>発注書!$I$1</f>
        <v xml:space="preserve">2025年12月9日	</v>
      </c>
      <c r="F360" s="33" t="str">
        <f>発注書!N37</f>
        <v/>
      </c>
      <c r="G360" s="33" t="str">
        <f>発注書!O37</f>
        <v/>
      </c>
      <c r="H360" s="33">
        <f>発注書!P37</f>
        <v>0</v>
      </c>
      <c r="I360" s="33">
        <v>0</v>
      </c>
      <c r="J360" s="33" t="str">
        <f t="shared" si="10"/>
        <v/>
      </c>
      <c r="K360" s="33" t="e">
        <f>発注書!$O$5</f>
        <v>#N/A</v>
      </c>
    </row>
    <row r="361" spans="1:11" x14ac:dyDescent="0.15">
      <c r="A361" s="33">
        <f t="shared" si="9"/>
        <v>360</v>
      </c>
      <c r="B361" s="33">
        <v>2</v>
      </c>
      <c r="C361" s="33" t="str">
        <f>発注書!$C$3</f>
        <v>bb02787</v>
      </c>
      <c r="D361" s="33" t="str">
        <f>発注書!$D$3</f>
        <v>イルミナジョブ＆カレッジ千葉中央校</v>
      </c>
      <c r="E361" s="34" t="str">
        <f>発注書!$I$1</f>
        <v xml:space="preserve">2025年12月9日	</v>
      </c>
      <c r="F361" s="33" t="str">
        <f>発注書!N38</f>
        <v/>
      </c>
      <c r="G361" s="33" t="str">
        <f>発注書!O38</f>
        <v/>
      </c>
      <c r="H361" s="33">
        <f>発注書!P38</f>
        <v>0</v>
      </c>
      <c r="I361" s="33">
        <v>0</v>
      </c>
      <c r="J361" s="33" t="str">
        <f t="shared" si="10"/>
        <v/>
      </c>
      <c r="K361" s="33" t="e">
        <f>発注書!$O$5</f>
        <v>#N/A</v>
      </c>
    </row>
    <row r="362" spans="1:11" x14ac:dyDescent="0.15">
      <c r="A362" s="33">
        <f t="shared" si="9"/>
        <v>361</v>
      </c>
      <c r="B362" s="33">
        <v>2</v>
      </c>
      <c r="C362" s="33" t="str">
        <f>発注書!$C$3</f>
        <v>bb02787</v>
      </c>
      <c r="D362" s="33" t="str">
        <f>発注書!$D$3</f>
        <v>イルミナジョブ＆カレッジ千葉中央校</v>
      </c>
      <c r="E362" s="34" t="str">
        <f>発注書!$I$1</f>
        <v xml:space="preserve">2025年12月9日	</v>
      </c>
      <c r="F362" s="33" t="str">
        <f>発注書!N39</f>
        <v/>
      </c>
      <c r="G362" s="33" t="str">
        <f>発注書!O39</f>
        <v/>
      </c>
      <c r="H362" s="33">
        <f>発注書!P39</f>
        <v>0</v>
      </c>
      <c r="I362" s="33">
        <v>0</v>
      </c>
      <c r="J362" s="33" t="str">
        <f t="shared" si="10"/>
        <v/>
      </c>
      <c r="K362" s="33" t="e">
        <f>発注書!$O$5</f>
        <v>#N/A</v>
      </c>
    </row>
    <row r="363" spans="1:11" x14ac:dyDescent="0.15">
      <c r="A363" s="33">
        <f t="shared" si="9"/>
        <v>362</v>
      </c>
      <c r="B363" s="33">
        <v>2</v>
      </c>
      <c r="C363" s="33" t="str">
        <f>発注書!$C$3</f>
        <v>bb02787</v>
      </c>
      <c r="D363" s="33" t="str">
        <f>発注書!$D$3</f>
        <v>イルミナジョブ＆カレッジ千葉中央校</v>
      </c>
      <c r="E363" s="34" t="str">
        <f>発注書!$I$1</f>
        <v xml:space="preserve">2025年12月9日	</v>
      </c>
      <c r="F363" s="33" t="str">
        <f>発注書!N40</f>
        <v/>
      </c>
      <c r="G363" s="33" t="str">
        <f>発注書!O40</f>
        <v/>
      </c>
      <c r="H363" s="33">
        <f>発注書!P40</f>
        <v>0</v>
      </c>
      <c r="I363" s="33">
        <v>0</v>
      </c>
      <c r="J363" s="33" t="str">
        <f t="shared" si="10"/>
        <v/>
      </c>
      <c r="K363" s="33" t="e">
        <f>発注書!$O$5</f>
        <v>#N/A</v>
      </c>
    </row>
    <row r="364" spans="1:11" x14ac:dyDescent="0.15">
      <c r="A364" s="33">
        <f t="shared" si="9"/>
        <v>363</v>
      </c>
      <c r="B364" s="33">
        <v>2</v>
      </c>
      <c r="C364" s="33" t="str">
        <f>発注書!$C$3</f>
        <v>bb02787</v>
      </c>
      <c r="D364" s="33" t="str">
        <f>発注書!$D$3</f>
        <v>イルミナジョブ＆カレッジ千葉中央校</v>
      </c>
      <c r="E364" s="34" t="str">
        <f>発注書!$I$1</f>
        <v xml:space="preserve">2025年12月9日	</v>
      </c>
      <c r="F364" s="33" t="str">
        <f>発注書!N41</f>
        <v/>
      </c>
      <c r="G364" s="33" t="str">
        <f>発注書!O41</f>
        <v/>
      </c>
      <c r="H364" s="33">
        <f>発注書!P41</f>
        <v>0</v>
      </c>
      <c r="I364" s="33">
        <v>0</v>
      </c>
      <c r="J364" s="33" t="str">
        <f t="shared" si="10"/>
        <v/>
      </c>
      <c r="K364" s="33" t="e">
        <f>発注書!$O$5</f>
        <v>#N/A</v>
      </c>
    </row>
    <row r="365" spans="1:11" x14ac:dyDescent="0.15">
      <c r="A365" s="33">
        <f t="shared" si="9"/>
        <v>364</v>
      </c>
      <c r="B365" s="33">
        <v>2</v>
      </c>
      <c r="C365" s="33" t="str">
        <f>発注書!$C$3</f>
        <v>bb02787</v>
      </c>
      <c r="D365" s="33" t="str">
        <f>発注書!$D$3</f>
        <v>イルミナジョブ＆カレッジ千葉中央校</v>
      </c>
      <c r="E365" s="34" t="str">
        <f>発注書!$I$1</f>
        <v xml:space="preserve">2025年12月9日	</v>
      </c>
      <c r="F365" s="33" t="str">
        <f>発注書!N42</f>
        <v/>
      </c>
      <c r="G365" s="33" t="str">
        <f>発注書!O42</f>
        <v/>
      </c>
      <c r="H365" s="33">
        <f>発注書!P42</f>
        <v>0</v>
      </c>
      <c r="I365" s="33">
        <v>0</v>
      </c>
      <c r="J365" s="33" t="str">
        <f t="shared" si="10"/>
        <v/>
      </c>
      <c r="K365" s="33" t="e">
        <f>発注書!$O$5</f>
        <v>#N/A</v>
      </c>
    </row>
    <row r="366" spans="1:11" x14ac:dyDescent="0.15">
      <c r="A366" s="33">
        <f t="shared" si="9"/>
        <v>365</v>
      </c>
      <c r="B366" s="33">
        <v>2</v>
      </c>
      <c r="C366" s="33" t="str">
        <f>発注書!$C$3</f>
        <v>bb02787</v>
      </c>
      <c r="D366" s="33" t="str">
        <f>発注書!$D$3</f>
        <v>イルミナジョブ＆カレッジ千葉中央校</v>
      </c>
      <c r="E366" s="34" t="str">
        <f>発注書!$I$1</f>
        <v xml:space="preserve">2025年12月9日	</v>
      </c>
      <c r="F366" s="33" t="str">
        <f>発注書!N43</f>
        <v/>
      </c>
      <c r="G366" s="33" t="str">
        <f>発注書!O43</f>
        <v/>
      </c>
      <c r="H366" s="33">
        <f>発注書!P43</f>
        <v>0</v>
      </c>
      <c r="I366" s="33">
        <v>0</v>
      </c>
      <c r="J366" s="33" t="str">
        <f t="shared" si="10"/>
        <v/>
      </c>
      <c r="K366" s="33" t="e">
        <f>発注書!$O$5</f>
        <v>#N/A</v>
      </c>
    </row>
    <row r="367" spans="1:11" x14ac:dyDescent="0.15">
      <c r="A367" s="33">
        <f t="shared" si="9"/>
        <v>366</v>
      </c>
      <c r="B367" s="33">
        <v>2</v>
      </c>
      <c r="C367" s="33" t="str">
        <f>発注書!$C$3</f>
        <v>bb02787</v>
      </c>
      <c r="D367" s="33" t="str">
        <f>発注書!$D$3</f>
        <v>イルミナジョブ＆カレッジ千葉中央校</v>
      </c>
      <c r="E367" s="34" t="str">
        <f>発注書!$I$1</f>
        <v xml:space="preserve">2025年12月9日	</v>
      </c>
      <c r="F367" s="33" t="str">
        <f>発注書!N44</f>
        <v/>
      </c>
      <c r="G367" s="33" t="str">
        <f>発注書!O44</f>
        <v/>
      </c>
      <c r="H367" s="33">
        <f>発注書!P44</f>
        <v>0</v>
      </c>
      <c r="I367" s="33">
        <v>0</v>
      </c>
      <c r="J367" s="33" t="str">
        <f t="shared" si="10"/>
        <v/>
      </c>
      <c r="K367" s="33" t="e">
        <f>発注書!$O$5</f>
        <v>#N/A</v>
      </c>
    </row>
    <row r="368" spans="1:11" x14ac:dyDescent="0.15">
      <c r="A368" s="33">
        <f t="shared" si="9"/>
        <v>367</v>
      </c>
      <c r="B368" s="33">
        <v>2</v>
      </c>
      <c r="C368" s="33" t="str">
        <f>発注書!$C$3</f>
        <v>bb02787</v>
      </c>
      <c r="D368" s="33" t="str">
        <f>発注書!$D$3</f>
        <v>イルミナジョブ＆カレッジ千葉中央校</v>
      </c>
      <c r="E368" s="34" t="str">
        <f>発注書!$I$1</f>
        <v xml:space="preserve">2025年12月9日	</v>
      </c>
      <c r="F368" s="33" t="str">
        <f>発注書!N45</f>
        <v/>
      </c>
      <c r="G368" s="33" t="str">
        <f>発注書!O45</f>
        <v/>
      </c>
      <c r="H368" s="33">
        <f>発注書!P45</f>
        <v>0</v>
      </c>
      <c r="I368" s="33">
        <v>0</v>
      </c>
      <c r="J368" s="33" t="str">
        <f t="shared" si="10"/>
        <v/>
      </c>
      <c r="K368" s="33" t="e">
        <f>発注書!$O$5</f>
        <v>#N/A</v>
      </c>
    </row>
    <row r="369" spans="1:11" x14ac:dyDescent="0.15">
      <c r="A369" s="33">
        <f t="shared" si="9"/>
        <v>368</v>
      </c>
      <c r="B369" s="33">
        <v>2</v>
      </c>
      <c r="C369" s="33" t="str">
        <f>発注書!$C$3</f>
        <v>bb02787</v>
      </c>
      <c r="D369" s="33" t="str">
        <f>発注書!$D$3</f>
        <v>イルミナジョブ＆カレッジ千葉中央校</v>
      </c>
      <c r="E369" s="34" t="str">
        <f>発注書!$I$1</f>
        <v xml:space="preserve">2025年12月9日	</v>
      </c>
      <c r="F369" s="33" t="str">
        <f>発注書!N46</f>
        <v/>
      </c>
      <c r="G369" s="33" t="str">
        <f>発注書!O46</f>
        <v/>
      </c>
      <c r="H369" s="33">
        <f>発注書!P46</f>
        <v>0</v>
      </c>
      <c r="I369" s="33">
        <v>0</v>
      </c>
      <c r="J369" s="33" t="str">
        <f t="shared" si="10"/>
        <v/>
      </c>
      <c r="K369" s="33" t="e">
        <f>発注書!$O$5</f>
        <v>#N/A</v>
      </c>
    </row>
    <row r="370" spans="1:11" x14ac:dyDescent="0.15">
      <c r="A370" s="33">
        <f t="shared" si="9"/>
        <v>369</v>
      </c>
      <c r="B370" s="33">
        <v>2</v>
      </c>
      <c r="C370" s="33" t="str">
        <f>発注書!$C$3</f>
        <v>bb02787</v>
      </c>
      <c r="D370" s="33" t="str">
        <f>発注書!$D$3</f>
        <v>イルミナジョブ＆カレッジ千葉中央校</v>
      </c>
      <c r="E370" s="34" t="str">
        <f>発注書!$I$1</f>
        <v xml:space="preserve">2025年12月9日	</v>
      </c>
      <c r="F370" s="33" t="str">
        <f>発注書!N47</f>
        <v/>
      </c>
      <c r="G370" s="33" t="str">
        <f>発注書!O47</f>
        <v/>
      </c>
      <c r="H370" s="33">
        <f>発注書!P47</f>
        <v>0</v>
      </c>
      <c r="I370" s="33">
        <v>0</v>
      </c>
      <c r="J370" s="33" t="str">
        <f t="shared" si="10"/>
        <v/>
      </c>
      <c r="K370" s="33" t="e">
        <f>発注書!$O$5</f>
        <v>#N/A</v>
      </c>
    </row>
    <row r="371" spans="1:11" x14ac:dyDescent="0.15">
      <c r="A371" s="33">
        <f t="shared" si="9"/>
        <v>370</v>
      </c>
      <c r="B371" s="33">
        <v>2</v>
      </c>
      <c r="C371" s="33" t="str">
        <f>発注書!$C$3</f>
        <v>bb02787</v>
      </c>
      <c r="D371" s="33" t="str">
        <f>発注書!$D$3</f>
        <v>イルミナジョブ＆カレッジ千葉中央校</v>
      </c>
      <c r="E371" s="34" t="str">
        <f>発注書!$I$1</f>
        <v xml:space="preserve">2025年12月9日	</v>
      </c>
      <c r="F371" s="33" t="str">
        <f>発注書!N48</f>
        <v/>
      </c>
      <c r="G371" s="33" t="str">
        <f>発注書!O48</f>
        <v/>
      </c>
      <c r="H371" s="33">
        <f>発注書!P48</f>
        <v>0</v>
      </c>
      <c r="I371" s="33">
        <v>0</v>
      </c>
      <c r="J371" s="33" t="str">
        <f t="shared" si="10"/>
        <v/>
      </c>
      <c r="K371" s="33" t="e">
        <f>発注書!$O$5</f>
        <v>#N/A</v>
      </c>
    </row>
    <row r="372" spans="1:11" x14ac:dyDescent="0.15">
      <c r="A372" s="33">
        <f t="shared" si="9"/>
        <v>371</v>
      </c>
      <c r="B372" s="33">
        <v>2</v>
      </c>
      <c r="C372" s="33" t="str">
        <f>発注書!$C$3</f>
        <v>bb02787</v>
      </c>
      <c r="D372" s="33" t="str">
        <f>発注書!$D$3</f>
        <v>イルミナジョブ＆カレッジ千葉中央校</v>
      </c>
      <c r="E372" s="34" t="str">
        <f>発注書!$I$1</f>
        <v xml:space="preserve">2025年12月9日	</v>
      </c>
      <c r="F372" s="33" t="str">
        <f>発注書!N49</f>
        <v/>
      </c>
      <c r="G372" s="33" t="str">
        <f>発注書!O49</f>
        <v/>
      </c>
      <c r="H372" s="33">
        <f>発注書!P49</f>
        <v>0</v>
      </c>
      <c r="I372" s="33">
        <v>0</v>
      </c>
      <c r="J372" s="33" t="str">
        <f t="shared" si="10"/>
        <v/>
      </c>
      <c r="K372" s="33" t="e">
        <f>発注書!$O$5</f>
        <v>#N/A</v>
      </c>
    </row>
    <row r="373" spans="1:11" x14ac:dyDescent="0.15">
      <c r="A373" s="33">
        <f t="shared" si="9"/>
        <v>372</v>
      </c>
      <c r="B373" s="33">
        <v>2</v>
      </c>
      <c r="C373" s="33" t="str">
        <f>発注書!$C$3</f>
        <v>bb02787</v>
      </c>
      <c r="D373" s="33" t="str">
        <f>発注書!$D$3</f>
        <v>イルミナジョブ＆カレッジ千葉中央校</v>
      </c>
      <c r="E373" s="34" t="str">
        <f>発注書!$I$1</f>
        <v xml:space="preserve">2025年12月9日	</v>
      </c>
      <c r="F373" s="33" t="str">
        <f>発注書!N50</f>
        <v/>
      </c>
      <c r="G373" s="33" t="str">
        <f>発注書!O50</f>
        <v/>
      </c>
      <c r="H373" s="33">
        <f>発注書!P50</f>
        <v>0</v>
      </c>
      <c r="I373" s="33">
        <v>0</v>
      </c>
      <c r="J373" s="33" t="str">
        <f t="shared" si="10"/>
        <v/>
      </c>
      <c r="K373" s="33" t="e">
        <f>発注書!$O$5</f>
        <v>#N/A</v>
      </c>
    </row>
    <row r="374" spans="1:11" x14ac:dyDescent="0.15">
      <c r="A374" s="33">
        <f t="shared" si="9"/>
        <v>373</v>
      </c>
      <c r="B374" s="33">
        <v>2</v>
      </c>
      <c r="C374" s="33" t="str">
        <f>発注書!$C$3</f>
        <v>bb02787</v>
      </c>
      <c r="D374" s="33" t="str">
        <f>発注書!$D$3</f>
        <v>イルミナジョブ＆カレッジ千葉中央校</v>
      </c>
      <c r="E374" s="34" t="str">
        <f>発注書!$I$1</f>
        <v xml:space="preserve">2025年12月9日	</v>
      </c>
      <c r="F374" s="33" t="str">
        <f>発注書!N51</f>
        <v/>
      </c>
      <c r="G374" s="33" t="str">
        <f>発注書!O51</f>
        <v/>
      </c>
      <c r="H374" s="33">
        <f>発注書!P51</f>
        <v>0</v>
      </c>
      <c r="I374" s="33">
        <v>0</v>
      </c>
      <c r="J374" s="33" t="str">
        <f t="shared" si="10"/>
        <v/>
      </c>
      <c r="K374" s="33" t="e">
        <f>発注書!$O$5</f>
        <v>#N/A</v>
      </c>
    </row>
    <row r="375" spans="1:11" x14ac:dyDescent="0.15">
      <c r="A375" s="33">
        <f t="shared" si="9"/>
        <v>374</v>
      </c>
      <c r="B375" s="33">
        <v>2</v>
      </c>
      <c r="C375" s="33" t="str">
        <f>発注書!$C$3</f>
        <v>bb02787</v>
      </c>
      <c r="D375" s="33" t="str">
        <f>発注書!$D$3</f>
        <v>イルミナジョブ＆カレッジ千葉中央校</v>
      </c>
      <c r="E375" s="34" t="str">
        <f>発注書!$I$1</f>
        <v xml:space="preserve">2025年12月9日	</v>
      </c>
      <c r="F375" s="33" t="str">
        <f>発注書!N52</f>
        <v/>
      </c>
      <c r="G375" s="33" t="str">
        <f>発注書!O52</f>
        <v/>
      </c>
      <c r="H375" s="33">
        <f>発注書!P52</f>
        <v>0</v>
      </c>
      <c r="I375" s="33">
        <v>0</v>
      </c>
      <c r="J375" s="33" t="str">
        <f t="shared" si="10"/>
        <v/>
      </c>
      <c r="K375" s="33" t="e">
        <f>発注書!$O$5</f>
        <v>#N/A</v>
      </c>
    </row>
    <row r="376" spans="1:11" x14ac:dyDescent="0.15">
      <c r="A376" s="33">
        <f t="shared" si="9"/>
        <v>375</v>
      </c>
      <c r="B376" s="33">
        <v>2</v>
      </c>
      <c r="C376" s="33" t="str">
        <f>発注書!$C$3</f>
        <v>bb02787</v>
      </c>
      <c r="D376" s="33" t="str">
        <f>発注書!$D$3</f>
        <v>イルミナジョブ＆カレッジ千葉中央校</v>
      </c>
      <c r="E376" s="34" t="str">
        <f>発注書!$I$1</f>
        <v xml:space="preserve">2025年12月9日	</v>
      </c>
      <c r="F376" s="33" t="str">
        <f>発注書!N53</f>
        <v/>
      </c>
      <c r="G376" s="33" t="str">
        <f>発注書!O53</f>
        <v/>
      </c>
      <c r="H376" s="33">
        <f>発注書!P53</f>
        <v>0</v>
      </c>
      <c r="I376" s="33">
        <v>0</v>
      </c>
      <c r="J376" s="33" t="str">
        <f t="shared" si="10"/>
        <v/>
      </c>
      <c r="K376" s="33" t="e">
        <f>発注書!$O$5</f>
        <v>#N/A</v>
      </c>
    </row>
    <row r="377" spans="1:11" x14ac:dyDescent="0.15">
      <c r="A377" s="33">
        <f t="shared" si="9"/>
        <v>376</v>
      </c>
      <c r="B377" s="33">
        <v>2</v>
      </c>
      <c r="C377" s="33" t="str">
        <f>発注書!$C$3</f>
        <v>bb02787</v>
      </c>
      <c r="D377" s="33" t="str">
        <f>発注書!$D$3</f>
        <v>イルミナジョブ＆カレッジ千葉中央校</v>
      </c>
      <c r="E377" s="34" t="str">
        <f>発注書!$I$1</f>
        <v xml:space="preserve">2025年12月9日	</v>
      </c>
      <c r="F377" s="33" t="str">
        <f>発注書!N54</f>
        <v/>
      </c>
      <c r="G377" s="33" t="str">
        <f>発注書!O54</f>
        <v/>
      </c>
      <c r="H377" s="33">
        <f>発注書!P54</f>
        <v>0</v>
      </c>
      <c r="I377" s="33">
        <v>0</v>
      </c>
      <c r="J377" s="33" t="str">
        <f t="shared" si="10"/>
        <v/>
      </c>
      <c r="K377" s="33" t="e">
        <f>発注書!$O$5</f>
        <v>#N/A</v>
      </c>
    </row>
    <row r="378" spans="1:11" x14ac:dyDescent="0.15">
      <c r="A378" s="33">
        <f t="shared" si="9"/>
        <v>377</v>
      </c>
      <c r="B378" s="33">
        <v>2</v>
      </c>
      <c r="C378" s="33" t="str">
        <f>発注書!$C$3</f>
        <v>bb02787</v>
      </c>
      <c r="D378" s="33" t="str">
        <f>発注書!$D$3</f>
        <v>イルミナジョブ＆カレッジ千葉中央校</v>
      </c>
      <c r="E378" s="34" t="str">
        <f>発注書!$I$1</f>
        <v xml:space="preserve">2025年12月9日	</v>
      </c>
      <c r="F378" s="33" t="str">
        <f>発注書!N55</f>
        <v/>
      </c>
      <c r="G378" s="33" t="str">
        <f>発注書!O55</f>
        <v/>
      </c>
      <c r="H378" s="33">
        <f>発注書!P55</f>
        <v>0</v>
      </c>
      <c r="I378" s="33">
        <v>0</v>
      </c>
      <c r="J378" s="33" t="str">
        <f t="shared" si="10"/>
        <v/>
      </c>
      <c r="K378" s="33" t="e">
        <f>発注書!$O$5</f>
        <v>#N/A</v>
      </c>
    </row>
    <row r="379" spans="1:11" x14ac:dyDescent="0.15">
      <c r="A379" s="33">
        <f t="shared" si="9"/>
        <v>378</v>
      </c>
      <c r="B379" s="33">
        <v>2</v>
      </c>
      <c r="C379" s="33" t="str">
        <f>発注書!$C$3</f>
        <v>bb02787</v>
      </c>
      <c r="D379" s="33" t="str">
        <f>発注書!$D$3</f>
        <v>イルミナジョブ＆カレッジ千葉中央校</v>
      </c>
      <c r="E379" s="34" t="str">
        <f>発注書!$I$1</f>
        <v xml:space="preserve">2025年12月9日	</v>
      </c>
      <c r="F379" s="33" t="str">
        <f>発注書!N56</f>
        <v/>
      </c>
      <c r="G379" s="33" t="str">
        <f>発注書!O56</f>
        <v/>
      </c>
      <c r="H379" s="33">
        <f>発注書!P56</f>
        <v>0</v>
      </c>
      <c r="I379" s="33">
        <v>0</v>
      </c>
      <c r="J379" s="33" t="str">
        <f t="shared" si="10"/>
        <v/>
      </c>
      <c r="K379" s="33" t="e">
        <f>発注書!$O$5</f>
        <v>#N/A</v>
      </c>
    </row>
    <row r="380" spans="1:11" x14ac:dyDescent="0.15">
      <c r="A380" s="33">
        <f t="shared" si="9"/>
        <v>379</v>
      </c>
      <c r="B380" s="33">
        <v>2</v>
      </c>
      <c r="C380" s="33" t="str">
        <f>発注書!$C$3</f>
        <v>bb02787</v>
      </c>
      <c r="D380" s="33" t="str">
        <f>発注書!$D$3</f>
        <v>イルミナジョブ＆カレッジ千葉中央校</v>
      </c>
      <c r="E380" s="34" t="str">
        <f>発注書!$I$1</f>
        <v xml:space="preserve">2025年12月9日	</v>
      </c>
      <c r="F380" s="33" t="str">
        <f>発注書!N57</f>
        <v/>
      </c>
      <c r="G380" s="33" t="str">
        <f>発注書!O57</f>
        <v/>
      </c>
      <c r="H380" s="33">
        <f>発注書!P57</f>
        <v>0</v>
      </c>
      <c r="I380" s="33">
        <v>0</v>
      </c>
      <c r="J380" s="33" t="str">
        <f t="shared" si="10"/>
        <v/>
      </c>
      <c r="K380" s="33" t="e">
        <f>発注書!$O$5</f>
        <v>#N/A</v>
      </c>
    </row>
    <row r="381" spans="1:11" x14ac:dyDescent="0.15">
      <c r="A381" s="33">
        <f t="shared" si="9"/>
        <v>380</v>
      </c>
      <c r="B381" s="33">
        <v>2</v>
      </c>
      <c r="C381" s="33" t="str">
        <f>発注書!$C$3</f>
        <v>bb02787</v>
      </c>
      <c r="D381" s="33" t="str">
        <f>発注書!$D$3</f>
        <v>イルミナジョブ＆カレッジ千葉中央校</v>
      </c>
      <c r="E381" s="34" t="str">
        <f>発注書!$I$1</f>
        <v xml:space="preserve">2025年12月9日	</v>
      </c>
      <c r="F381" s="33" t="str">
        <f>発注書!N58</f>
        <v/>
      </c>
      <c r="G381" s="33" t="str">
        <f>発注書!O58</f>
        <v/>
      </c>
      <c r="H381" s="33">
        <f>発注書!P58</f>
        <v>0</v>
      </c>
      <c r="I381" s="33">
        <v>0</v>
      </c>
      <c r="J381" s="33" t="str">
        <f t="shared" si="10"/>
        <v/>
      </c>
      <c r="K381" s="33" t="e">
        <f>発注書!$O$5</f>
        <v>#N/A</v>
      </c>
    </row>
    <row r="382" spans="1:11" x14ac:dyDescent="0.15">
      <c r="A382" s="33">
        <f t="shared" si="9"/>
        <v>381</v>
      </c>
      <c r="B382" s="33">
        <v>2</v>
      </c>
      <c r="C382" s="33" t="str">
        <f>発注書!$C$3</f>
        <v>bb02787</v>
      </c>
      <c r="D382" s="33" t="str">
        <f>発注書!$D$3</f>
        <v>イルミナジョブ＆カレッジ千葉中央校</v>
      </c>
      <c r="E382" s="34" t="str">
        <f>発注書!$I$1</f>
        <v xml:space="preserve">2025年12月9日	</v>
      </c>
      <c r="F382" s="33" t="str">
        <f>発注書!N59</f>
        <v/>
      </c>
      <c r="G382" s="33" t="str">
        <f>発注書!O59</f>
        <v/>
      </c>
      <c r="H382" s="33">
        <f>発注書!P59</f>
        <v>0</v>
      </c>
      <c r="I382" s="33">
        <v>0</v>
      </c>
      <c r="J382" s="33" t="str">
        <f t="shared" si="10"/>
        <v/>
      </c>
      <c r="K382" s="33" t="e">
        <f>発注書!$O$5</f>
        <v>#N/A</v>
      </c>
    </row>
    <row r="383" spans="1:11" x14ac:dyDescent="0.15">
      <c r="A383" s="33">
        <f t="shared" si="9"/>
        <v>382</v>
      </c>
      <c r="B383" s="33">
        <v>2</v>
      </c>
      <c r="C383" s="33" t="str">
        <f>発注書!$C$3</f>
        <v>bb02787</v>
      </c>
      <c r="D383" s="33" t="str">
        <f>発注書!$D$3</f>
        <v>イルミナジョブ＆カレッジ千葉中央校</v>
      </c>
      <c r="E383" s="34" t="str">
        <f>発注書!$I$1</f>
        <v xml:space="preserve">2025年12月9日	</v>
      </c>
      <c r="F383" s="33" t="str">
        <f>発注書!N60</f>
        <v/>
      </c>
      <c r="G383" s="33" t="str">
        <f>発注書!O60</f>
        <v/>
      </c>
      <c r="H383" s="33">
        <f>発注書!P60</f>
        <v>0</v>
      </c>
      <c r="I383" s="33">
        <v>0</v>
      </c>
      <c r="J383" s="33" t="str">
        <f t="shared" si="10"/>
        <v/>
      </c>
      <c r="K383" s="33" t="e">
        <f>発注書!$O$5</f>
        <v>#N/A</v>
      </c>
    </row>
    <row r="384" spans="1:11" x14ac:dyDescent="0.15">
      <c r="A384" s="33">
        <f t="shared" si="9"/>
        <v>383</v>
      </c>
      <c r="B384" s="33">
        <v>2</v>
      </c>
      <c r="C384" s="33" t="str">
        <f>発注書!$C$3</f>
        <v>bb02787</v>
      </c>
      <c r="D384" s="33" t="str">
        <f>発注書!$D$3</f>
        <v>イルミナジョブ＆カレッジ千葉中央校</v>
      </c>
      <c r="E384" s="34" t="str">
        <f>発注書!$I$1</f>
        <v xml:space="preserve">2025年12月9日	</v>
      </c>
      <c r="F384" s="33" t="str">
        <f>発注書!N61</f>
        <v/>
      </c>
      <c r="G384" s="33" t="str">
        <f>発注書!O61</f>
        <v/>
      </c>
      <c r="H384" s="33">
        <f>発注書!P61</f>
        <v>0</v>
      </c>
      <c r="I384" s="33">
        <v>0</v>
      </c>
      <c r="J384" s="33" t="str">
        <f t="shared" si="10"/>
        <v/>
      </c>
      <c r="K384" s="33" t="e">
        <f>発注書!$O$5</f>
        <v>#N/A</v>
      </c>
    </row>
    <row r="385" spans="1:11" x14ac:dyDescent="0.15">
      <c r="A385" s="33">
        <f t="shared" si="9"/>
        <v>384</v>
      </c>
      <c r="B385" s="33">
        <v>2</v>
      </c>
      <c r="C385" s="33" t="str">
        <f>発注書!$C$3</f>
        <v>bb02787</v>
      </c>
      <c r="D385" s="33" t="str">
        <f>発注書!$D$3</f>
        <v>イルミナジョブ＆カレッジ千葉中央校</v>
      </c>
      <c r="E385" s="34" t="str">
        <f>発注書!$I$1</f>
        <v xml:space="preserve">2025年12月9日	</v>
      </c>
      <c r="F385" s="33" t="str">
        <f>発注書!N62</f>
        <v/>
      </c>
      <c r="G385" s="33" t="str">
        <f>発注書!O62</f>
        <v/>
      </c>
      <c r="H385" s="33">
        <f>発注書!P62</f>
        <v>0</v>
      </c>
      <c r="I385" s="33">
        <v>0</v>
      </c>
      <c r="J385" s="33" t="str">
        <f t="shared" si="10"/>
        <v/>
      </c>
      <c r="K385" s="33" t="e">
        <f>発注書!$O$5</f>
        <v>#N/A</v>
      </c>
    </row>
    <row r="386" spans="1:11" x14ac:dyDescent="0.15">
      <c r="A386" s="33">
        <f t="shared" si="9"/>
        <v>385</v>
      </c>
      <c r="B386" s="33">
        <v>2</v>
      </c>
      <c r="C386" s="33" t="str">
        <f>発注書!$C$3</f>
        <v>bb02787</v>
      </c>
      <c r="D386" s="33" t="str">
        <f>発注書!$D$3</f>
        <v>イルミナジョブ＆カレッジ千葉中央校</v>
      </c>
      <c r="E386" s="34" t="str">
        <f>発注書!$I$1</f>
        <v xml:space="preserve">2025年12月9日	</v>
      </c>
      <c r="F386" s="33" t="str">
        <f>発注書!N63</f>
        <v/>
      </c>
      <c r="G386" s="33" t="str">
        <f>発注書!O63</f>
        <v/>
      </c>
      <c r="H386" s="33">
        <f>発注書!P63</f>
        <v>0</v>
      </c>
      <c r="I386" s="33">
        <v>0</v>
      </c>
      <c r="J386" s="33" t="str">
        <f t="shared" si="10"/>
        <v/>
      </c>
      <c r="K386" s="33" t="e">
        <f>発注書!$O$5</f>
        <v>#N/A</v>
      </c>
    </row>
    <row r="387" spans="1:11" x14ac:dyDescent="0.15">
      <c r="A387" s="33">
        <f t="shared" si="9"/>
        <v>386</v>
      </c>
      <c r="B387" s="33">
        <v>2</v>
      </c>
      <c r="C387" s="33" t="str">
        <f>発注書!$C$3</f>
        <v>bb02787</v>
      </c>
      <c r="D387" s="33" t="str">
        <f>発注書!$D$3</f>
        <v>イルミナジョブ＆カレッジ千葉中央校</v>
      </c>
      <c r="E387" s="34" t="str">
        <f>発注書!$I$1</f>
        <v xml:space="preserve">2025年12月9日	</v>
      </c>
      <c r="F387" s="33" t="str">
        <f>発注書!N64</f>
        <v/>
      </c>
      <c r="G387" s="33" t="str">
        <f>発注書!O64</f>
        <v/>
      </c>
      <c r="H387" s="33">
        <f>発注書!P64</f>
        <v>0</v>
      </c>
      <c r="I387" s="33">
        <v>0</v>
      </c>
      <c r="J387" s="33" t="str">
        <f t="shared" si="10"/>
        <v/>
      </c>
      <c r="K387" s="33" t="e">
        <f>発注書!$O$5</f>
        <v>#N/A</v>
      </c>
    </row>
    <row r="388" spans="1:11" x14ac:dyDescent="0.15">
      <c r="A388" s="33">
        <f t="shared" si="9"/>
        <v>387</v>
      </c>
      <c r="B388" s="33">
        <v>2</v>
      </c>
      <c r="C388" s="33" t="str">
        <f>発注書!$C$3</f>
        <v>bb02787</v>
      </c>
      <c r="D388" s="33" t="str">
        <f>発注書!$D$3</f>
        <v>イルミナジョブ＆カレッジ千葉中央校</v>
      </c>
      <c r="E388" s="34" t="str">
        <f>発注書!$I$1</f>
        <v xml:space="preserve">2025年12月9日	</v>
      </c>
      <c r="F388" s="33" t="str">
        <f>発注書!N65</f>
        <v/>
      </c>
      <c r="G388" s="33" t="str">
        <f>発注書!O65</f>
        <v/>
      </c>
      <c r="H388" s="33">
        <f>発注書!P65</f>
        <v>0</v>
      </c>
      <c r="I388" s="33">
        <v>0</v>
      </c>
      <c r="J388" s="33" t="str">
        <f t="shared" si="10"/>
        <v/>
      </c>
      <c r="K388" s="33" t="e">
        <f>発注書!$O$5</f>
        <v>#N/A</v>
      </c>
    </row>
    <row r="389" spans="1:11" x14ac:dyDescent="0.15">
      <c r="A389" s="33">
        <f t="shared" si="9"/>
        <v>388</v>
      </c>
      <c r="B389" s="33">
        <v>2</v>
      </c>
      <c r="C389" s="33" t="str">
        <f>発注書!$C$3</f>
        <v>bb02787</v>
      </c>
      <c r="D389" s="33" t="str">
        <f>発注書!$D$3</f>
        <v>イルミナジョブ＆カレッジ千葉中央校</v>
      </c>
      <c r="E389" s="34" t="str">
        <f>発注書!$I$1</f>
        <v xml:space="preserve">2025年12月9日	</v>
      </c>
      <c r="F389" s="33" t="str">
        <f>発注書!N66</f>
        <v/>
      </c>
      <c r="G389" s="33" t="str">
        <f>発注書!O66</f>
        <v/>
      </c>
      <c r="H389" s="33">
        <f>発注書!P66</f>
        <v>0</v>
      </c>
      <c r="I389" s="33">
        <v>0</v>
      </c>
      <c r="J389" s="33" t="str">
        <f t="shared" si="10"/>
        <v/>
      </c>
      <c r="K389" s="33" t="e">
        <f>発注書!$O$5</f>
        <v>#N/A</v>
      </c>
    </row>
    <row r="390" spans="1:11" x14ac:dyDescent="0.15">
      <c r="A390" s="33">
        <f t="shared" si="9"/>
        <v>389</v>
      </c>
      <c r="B390" s="33">
        <v>2</v>
      </c>
      <c r="C390" s="33" t="str">
        <f>発注書!$C$3</f>
        <v>bb02787</v>
      </c>
      <c r="D390" s="33" t="str">
        <f>発注書!$D$3</f>
        <v>イルミナジョブ＆カレッジ千葉中央校</v>
      </c>
      <c r="E390" s="34" t="str">
        <f>発注書!$I$1</f>
        <v xml:space="preserve">2025年12月9日	</v>
      </c>
      <c r="F390" s="33" t="str">
        <f>発注書!N67</f>
        <v/>
      </c>
      <c r="G390" s="33" t="str">
        <f>発注書!O67</f>
        <v/>
      </c>
      <c r="H390" s="33">
        <f>発注書!P67</f>
        <v>0</v>
      </c>
      <c r="I390" s="33">
        <v>0</v>
      </c>
      <c r="J390" s="33" t="str">
        <f t="shared" si="10"/>
        <v/>
      </c>
      <c r="K390" s="33" t="e">
        <f>発注書!$O$5</f>
        <v>#N/A</v>
      </c>
    </row>
    <row r="391" spans="1:11" x14ac:dyDescent="0.15">
      <c r="A391" s="33">
        <f t="shared" si="9"/>
        <v>390</v>
      </c>
      <c r="B391" s="33">
        <v>2</v>
      </c>
      <c r="C391" s="33" t="str">
        <f>発注書!$C$3</f>
        <v>bb02787</v>
      </c>
      <c r="D391" s="33" t="str">
        <f>発注書!$D$3</f>
        <v>イルミナジョブ＆カレッジ千葉中央校</v>
      </c>
      <c r="E391" s="34" t="str">
        <f>発注書!$I$1</f>
        <v xml:space="preserve">2025年12月9日	</v>
      </c>
      <c r="F391" s="33" t="str">
        <f>発注書!N68</f>
        <v/>
      </c>
      <c r="G391" s="33" t="str">
        <f>発注書!O68</f>
        <v/>
      </c>
      <c r="H391" s="33">
        <f>発注書!P68</f>
        <v>0</v>
      </c>
      <c r="I391" s="33">
        <v>0</v>
      </c>
      <c r="J391" s="33" t="str">
        <f t="shared" si="10"/>
        <v/>
      </c>
      <c r="K391" s="33" t="e">
        <f>発注書!$O$5</f>
        <v>#N/A</v>
      </c>
    </row>
    <row r="392" spans="1:11" x14ac:dyDescent="0.15">
      <c r="A392" s="33">
        <f t="shared" si="9"/>
        <v>391</v>
      </c>
      <c r="B392" s="33">
        <v>2</v>
      </c>
      <c r="C392" s="33" t="str">
        <f>発注書!$C$3</f>
        <v>bb02787</v>
      </c>
      <c r="D392" s="33" t="str">
        <f>発注書!$D$3</f>
        <v>イルミナジョブ＆カレッジ千葉中央校</v>
      </c>
      <c r="E392" s="34" t="str">
        <f>発注書!$I$1</f>
        <v xml:space="preserve">2025年12月9日	</v>
      </c>
      <c r="F392" s="33" t="str">
        <f>発注書!N69</f>
        <v/>
      </c>
      <c r="G392" s="33" t="str">
        <f>発注書!O69</f>
        <v/>
      </c>
      <c r="H392" s="33">
        <f>発注書!P69</f>
        <v>0</v>
      </c>
      <c r="I392" s="33">
        <v>0</v>
      </c>
      <c r="J392" s="33" t="str">
        <f t="shared" si="10"/>
        <v/>
      </c>
      <c r="K392" s="33" t="e">
        <f>発注書!$O$5</f>
        <v>#N/A</v>
      </c>
    </row>
    <row r="393" spans="1:11" x14ac:dyDescent="0.15">
      <c r="A393" s="33">
        <f t="shared" si="9"/>
        <v>392</v>
      </c>
      <c r="B393" s="33">
        <v>2</v>
      </c>
      <c r="C393" s="33" t="str">
        <f>発注書!$C$3</f>
        <v>bb02787</v>
      </c>
      <c r="D393" s="33" t="str">
        <f>発注書!$D$3</f>
        <v>イルミナジョブ＆カレッジ千葉中央校</v>
      </c>
      <c r="E393" s="34" t="str">
        <f>発注書!$I$1</f>
        <v xml:space="preserve">2025年12月9日	</v>
      </c>
      <c r="F393" s="33" t="str">
        <f>発注書!N70</f>
        <v/>
      </c>
      <c r="G393" s="33" t="str">
        <f>発注書!O70</f>
        <v/>
      </c>
      <c r="H393" s="33">
        <f>発注書!P70</f>
        <v>0</v>
      </c>
      <c r="I393" s="33">
        <v>0</v>
      </c>
      <c r="J393" s="33" t="str">
        <f t="shared" si="10"/>
        <v/>
      </c>
      <c r="K393" s="33" t="e">
        <f>発注書!$O$5</f>
        <v>#N/A</v>
      </c>
    </row>
    <row r="394" spans="1:11" x14ac:dyDescent="0.15">
      <c r="A394" s="33">
        <f t="shared" si="9"/>
        <v>393</v>
      </c>
      <c r="B394" s="33">
        <v>2</v>
      </c>
      <c r="C394" s="33" t="str">
        <f>発注書!$C$3</f>
        <v>bb02787</v>
      </c>
      <c r="D394" s="33" t="str">
        <f>発注書!$D$3</f>
        <v>イルミナジョブ＆カレッジ千葉中央校</v>
      </c>
      <c r="E394" s="34" t="str">
        <f>発注書!$I$1</f>
        <v xml:space="preserve">2025年12月9日	</v>
      </c>
      <c r="F394" s="33" t="str">
        <f>発注書!N71</f>
        <v/>
      </c>
      <c r="G394" s="33" t="str">
        <f>発注書!O71</f>
        <v/>
      </c>
      <c r="H394" s="33">
        <f>発注書!P71</f>
        <v>0</v>
      </c>
      <c r="I394" s="33">
        <v>0</v>
      </c>
      <c r="J394" s="33" t="str">
        <f t="shared" si="10"/>
        <v/>
      </c>
      <c r="K394" s="33" t="e">
        <f>発注書!$O$5</f>
        <v>#N/A</v>
      </c>
    </row>
    <row r="395" spans="1:11" x14ac:dyDescent="0.15">
      <c r="A395" s="33">
        <f t="shared" si="9"/>
        <v>394</v>
      </c>
      <c r="B395" s="33">
        <v>2</v>
      </c>
      <c r="C395" s="33" t="str">
        <f>発注書!$C$3</f>
        <v>bb02787</v>
      </c>
      <c r="D395" s="33" t="str">
        <f>発注書!$D$3</f>
        <v>イルミナジョブ＆カレッジ千葉中央校</v>
      </c>
      <c r="E395" s="34" t="str">
        <f>発注書!$I$1</f>
        <v xml:space="preserve">2025年12月9日	</v>
      </c>
      <c r="F395" s="33" t="str">
        <f>発注書!N72</f>
        <v/>
      </c>
      <c r="G395" s="33" t="str">
        <f>発注書!O72</f>
        <v/>
      </c>
      <c r="H395" s="33">
        <f>発注書!P72</f>
        <v>0</v>
      </c>
      <c r="I395" s="33">
        <v>0</v>
      </c>
      <c r="J395" s="33" t="str">
        <f t="shared" si="10"/>
        <v/>
      </c>
      <c r="K395" s="33" t="e">
        <f>発注書!$O$5</f>
        <v>#N/A</v>
      </c>
    </row>
    <row r="396" spans="1:11" x14ac:dyDescent="0.15">
      <c r="A396" s="33">
        <f t="shared" si="9"/>
        <v>395</v>
      </c>
      <c r="B396" s="33">
        <v>2</v>
      </c>
      <c r="C396" s="33" t="str">
        <f>発注書!$C$3</f>
        <v>bb02787</v>
      </c>
      <c r="D396" s="33" t="str">
        <f>発注書!$D$3</f>
        <v>イルミナジョブ＆カレッジ千葉中央校</v>
      </c>
      <c r="E396" s="34" t="str">
        <f>発注書!$I$1</f>
        <v xml:space="preserve">2025年12月9日	</v>
      </c>
      <c r="F396" s="33" t="str">
        <f>発注書!N73</f>
        <v/>
      </c>
      <c r="G396" s="33" t="str">
        <f>発注書!O73</f>
        <v/>
      </c>
      <c r="H396" s="33">
        <f>発注書!P73</f>
        <v>0</v>
      </c>
      <c r="I396" s="33">
        <v>0</v>
      </c>
      <c r="J396" s="33" t="str">
        <f t="shared" si="10"/>
        <v/>
      </c>
      <c r="K396" s="33" t="e">
        <f>発注書!$O$5</f>
        <v>#N/A</v>
      </c>
    </row>
    <row r="397" spans="1:11" x14ac:dyDescent="0.15">
      <c r="A397" s="33">
        <f t="shared" si="9"/>
        <v>396</v>
      </c>
      <c r="B397" s="33">
        <v>2</v>
      </c>
      <c r="C397" s="33" t="str">
        <f>発注書!$C$3</f>
        <v>bb02787</v>
      </c>
      <c r="D397" s="33" t="str">
        <f>発注書!$D$3</f>
        <v>イルミナジョブ＆カレッジ千葉中央校</v>
      </c>
      <c r="E397" s="34" t="str">
        <f>発注書!$I$1</f>
        <v xml:space="preserve">2025年12月9日	</v>
      </c>
      <c r="F397" s="33" t="str">
        <f>発注書!N74</f>
        <v/>
      </c>
      <c r="G397" s="33" t="str">
        <f>発注書!O74</f>
        <v/>
      </c>
      <c r="H397" s="33">
        <f>発注書!P74</f>
        <v>0</v>
      </c>
      <c r="I397" s="33">
        <v>0</v>
      </c>
      <c r="J397" s="33" t="str">
        <f t="shared" si="10"/>
        <v/>
      </c>
      <c r="K397" s="33" t="e">
        <f>発注書!$O$5</f>
        <v>#N/A</v>
      </c>
    </row>
    <row r="398" spans="1:11" x14ac:dyDescent="0.15">
      <c r="A398" s="33">
        <f t="shared" si="9"/>
        <v>397</v>
      </c>
      <c r="B398" s="33">
        <v>2</v>
      </c>
      <c r="C398" s="33" t="str">
        <f>発注書!$C$3</f>
        <v>bb02787</v>
      </c>
      <c r="D398" s="33" t="str">
        <f>発注書!$D$3</f>
        <v>イルミナジョブ＆カレッジ千葉中央校</v>
      </c>
      <c r="E398" s="34" t="str">
        <f>発注書!$I$1</f>
        <v xml:space="preserve">2025年12月9日	</v>
      </c>
      <c r="F398" s="33" t="str">
        <f>発注書!N75</f>
        <v/>
      </c>
      <c r="G398" s="33" t="str">
        <f>発注書!O75</f>
        <v/>
      </c>
      <c r="H398" s="33">
        <f>発注書!P75</f>
        <v>0</v>
      </c>
      <c r="I398" s="33">
        <v>0</v>
      </c>
      <c r="J398" s="33" t="str">
        <f t="shared" si="10"/>
        <v/>
      </c>
      <c r="K398" s="33" t="e">
        <f>発注書!$O$5</f>
        <v>#N/A</v>
      </c>
    </row>
    <row r="399" spans="1:11" x14ac:dyDescent="0.15">
      <c r="A399" s="33">
        <f t="shared" si="9"/>
        <v>398</v>
      </c>
      <c r="B399" s="33">
        <v>2</v>
      </c>
      <c r="C399" s="33" t="str">
        <f>発注書!$C$3</f>
        <v>bb02787</v>
      </c>
      <c r="D399" s="33" t="str">
        <f>発注書!$D$3</f>
        <v>イルミナジョブ＆カレッジ千葉中央校</v>
      </c>
      <c r="E399" s="34" t="str">
        <f>発注書!$I$1</f>
        <v xml:space="preserve">2025年12月9日	</v>
      </c>
      <c r="F399" s="33" t="str">
        <f>発注書!N76</f>
        <v/>
      </c>
      <c r="G399" s="33" t="str">
        <f>発注書!O76</f>
        <v/>
      </c>
      <c r="H399" s="33">
        <f>発注書!P76</f>
        <v>0</v>
      </c>
      <c r="I399" s="33">
        <v>0</v>
      </c>
      <c r="J399" s="33" t="str">
        <f t="shared" si="10"/>
        <v/>
      </c>
      <c r="K399" s="33" t="e">
        <f>発注書!$O$5</f>
        <v>#N/A</v>
      </c>
    </row>
    <row r="400" spans="1:11" x14ac:dyDescent="0.15">
      <c r="A400" s="33">
        <f t="shared" si="9"/>
        <v>399</v>
      </c>
      <c r="B400" s="33">
        <v>2</v>
      </c>
      <c r="C400" s="33" t="str">
        <f>発注書!$C$3</f>
        <v>bb02787</v>
      </c>
      <c r="D400" s="33" t="str">
        <f>発注書!$D$3</f>
        <v>イルミナジョブ＆カレッジ千葉中央校</v>
      </c>
      <c r="E400" s="34" t="str">
        <f>発注書!$I$1</f>
        <v xml:space="preserve">2025年12月9日	</v>
      </c>
      <c r="F400" s="33" t="str">
        <f>発注書!N77</f>
        <v/>
      </c>
      <c r="G400" s="33" t="str">
        <f>発注書!O77</f>
        <v/>
      </c>
      <c r="H400" s="33">
        <f>発注書!P77</f>
        <v>0</v>
      </c>
      <c r="I400" s="33">
        <v>0</v>
      </c>
      <c r="J400" s="33" t="str">
        <f t="shared" si="10"/>
        <v/>
      </c>
      <c r="K400" s="33" t="e">
        <f>発注書!$O$5</f>
        <v>#N/A</v>
      </c>
    </row>
    <row r="401" spans="1:11" x14ac:dyDescent="0.15">
      <c r="A401" s="33">
        <f t="shared" si="9"/>
        <v>400</v>
      </c>
      <c r="B401" s="33">
        <v>2</v>
      </c>
      <c r="C401" s="33" t="str">
        <f>発注書!$C$3</f>
        <v>bb02787</v>
      </c>
      <c r="D401" s="33" t="str">
        <f>発注書!$D$3</f>
        <v>イルミナジョブ＆カレッジ千葉中央校</v>
      </c>
      <c r="E401" s="34" t="str">
        <f>発注書!$I$1</f>
        <v xml:space="preserve">2025年12月9日	</v>
      </c>
      <c r="F401" s="33" t="str">
        <f>発注書!N78</f>
        <v/>
      </c>
      <c r="G401" s="33" t="str">
        <f>発注書!O78</f>
        <v/>
      </c>
      <c r="H401" s="33">
        <f>発注書!P78</f>
        <v>0</v>
      </c>
      <c r="I401" s="33">
        <v>0</v>
      </c>
      <c r="J401" s="33" t="str">
        <f t="shared" si="10"/>
        <v/>
      </c>
      <c r="K401" s="33" t="e">
        <f>発注書!$O$5</f>
        <v>#N/A</v>
      </c>
    </row>
    <row r="402" spans="1:11" x14ac:dyDescent="0.15">
      <c r="A402" s="33">
        <f t="shared" si="9"/>
        <v>401</v>
      </c>
      <c r="B402" s="33">
        <v>2</v>
      </c>
      <c r="C402" s="33" t="str">
        <f>発注書!$C$3</f>
        <v>bb02787</v>
      </c>
      <c r="D402" s="33" t="str">
        <f>発注書!$D$3</f>
        <v>イルミナジョブ＆カレッジ千葉中央校</v>
      </c>
      <c r="E402" s="34" t="str">
        <f>発注書!$I$1</f>
        <v xml:space="preserve">2025年12月9日	</v>
      </c>
      <c r="F402" s="33" t="str">
        <f>発注書!N79</f>
        <v/>
      </c>
      <c r="G402" s="33" t="str">
        <f>発注書!O79</f>
        <v/>
      </c>
      <c r="H402" s="33">
        <f>発注書!P79</f>
        <v>0</v>
      </c>
      <c r="I402" s="33">
        <v>0</v>
      </c>
      <c r="J402" s="33" t="str">
        <f t="shared" si="10"/>
        <v/>
      </c>
      <c r="K402" s="33" t="e">
        <f>発注書!$O$5</f>
        <v>#N/A</v>
      </c>
    </row>
    <row r="403" spans="1:11" x14ac:dyDescent="0.15">
      <c r="A403" s="33">
        <f t="shared" si="9"/>
        <v>402</v>
      </c>
      <c r="B403" s="33">
        <v>2</v>
      </c>
      <c r="C403" s="33" t="str">
        <f>発注書!$C$3</f>
        <v>bb02787</v>
      </c>
      <c r="D403" s="33" t="str">
        <f>発注書!$D$3</f>
        <v>イルミナジョブ＆カレッジ千葉中央校</v>
      </c>
      <c r="E403" s="34" t="str">
        <f>発注書!$I$1</f>
        <v xml:space="preserve">2025年12月9日	</v>
      </c>
      <c r="F403" s="33" t="str">
        <f>発注書!N80</f>
        <v/>
      </c>
      <c r="G403" s="33" t="str">
        <f>発注書!O80</f>
        <v/>
      </c>
      <c r="H403" s="33">
        <f>発注書!P80</f>
        <v>0</v>
      </c>
      <c r="I403" s="33">
        <v>0</v>
      </c>
      <c r="J403" s="33" t="str">
        <f t="shared" si="10"/>
        <v/>
      </c>
      <c r="K403" s="33" t="e">
        <f>発注書!$O$5</f>
        <v>#N/A</v>
      </c>
    </row>
    <row r="404" spans="1:11" x14ac:dyDescent="0.15">
      <c r="A404" s="33">
        <f t="shared" si="9"/>
        <v>403</v>
      </c>
      <c r="B404" s="33">
        <v>2</v>
      </c>
      <c r="C404" s="33" t="str">
        <f>発注書!$C$3</f>
        <v>bb02787</v>
      </c>
      <c r="D404" s="33" t="str">
        <f>発注書!$D$3</f>
        <v>イルミナジョブ＆カレッジ千葉中央校</v>
      </c>
      <c r="E404" s="34" t="str">
        <f>発注書!$I$1</f>
        <v xml:space="preserve">2025年12月9日	</v>
      </c>
      <c r="F404" s="33" t="str">
        <f>発注書!N81</f>
        <v/>
      </c>
      <c r="G404" s="33" t="str">
        <f>発注書!O81</f>
        <v/>
      </c>
      <c r="H404" s="33">
        <f>発注書!P81</f>
        <v>0</v>
      </c>
      <c r="I404" s="33">
        <v>0</v>
      </c>
      <c r="J404" s="33" t="str">
        <f t="shared" si="10"/>
        <v/>
      </c>
      <c r="K404" s="33" t="e">
        <f>発注書!$O$5</f>
        <v>#N/A</v>
      </c>
    </row>
    <row r="405" spans="1:11" x14ac:dyDescent="0.15">
      <c r="A405" s="33">
        <f t="shared" si="9"/>
        <v>404</v>
      </c>
      <c r="B405" s="33">
        <v>2</v>
      </c>
      <c r="C405" s="33" t="str">
        <f>発注書!$C$3</f>
        <v>bb02787</v>
      </c>
      <c r="D405" s="33" t="str">
        <f>発注書!$D$3</f>
        <v>イルミナジョブ＆カレッジ千葉中央校</v>
      </c>
      <c r="E405" s="34" t="str">
        <f>発注書!$I$1</f>
        <v xml:space="preserve">2025年12月9日	</v>
      </c>
      <c r="F405" s="33" t="str">
        <f>発注書!N82</f>
        <v/>
      </c>
      <c r="G405" s="33" t="str">
        <f>発注書!O82</f>
        <v/>
      </c>
      <c r="H405" s="33">
        <f>発注書!P82</f>
        <v>0</v>
      </c>
      <c r="I405" s="33">
        <v>0</v>
      </c>
      <c r="J405" s="33" t="str">
        <f t="shared" si="10"/>
        <v/>
      </c>
      <c r="K405" s="33" t="e">
        <f>発注書!$O$5</f>
        <v>#N/A</v>
      </c>
    </row>
    <row r="406" spans="1:11" x14ac:dyDescent="0.15">
      <c r="A406" s="33">
        <f t="shared" si="9"/>
        <v>405</v>
      </c>
      <c r="B406" s="33">
        <v>2</v>
      </c>
      <c r="C406" s="33" t="str">
        <f>発注書!$C$3</f>
        <v>bb02787</v>
      </c>
      <c r="D406" s="33" t="str">
        <f>発注書!$D$3</f>
        <v>イルミナジョブ＆カレッジ千葉中央校</v>
      </c>
      <c r="E406" s="34" t="str">
        <f>発注書!$I$1</f>
        <v xml:space="preserve">2025年12月9日	</v>
      </c>
      <c r="F406" s="33" t="str">
        <f>発注書!N83</f>
        <v/>
      </c>
      <c r="G406" s="33" t="str">
        <f>発注書!O83</f>
        <v/>
      </c>
      <c r="H406" s="33">
        <f>発注書!P83</f>
        <v>0</v>
      </c>
      <c r="I406" s="33">
        <v>0</v>
      </c>
      <c r="J406" s="33" t="str">
        <f t="shared" si="10"/>
        <v/>
      </c>
      <c r="K406" s="33" t="e">
        <f>発注書!$O$5</f>
        <v>#N/A</v>
      </c>
    </row>
    <row r="407" spans="1:11" x14ac:dyDescent="0.15">
      <c r="A407" s="33">
        <f t="shared" si="9"/>
        <v>406</v>
      </c>
      <c r="B407" s="33">
        <v>2</v>
      </c>
      <c r="C407" s="33" t="str">
        <f>発注書!$C$3</f>
        <v>bb02787</v>
      </c>
      <c r="D407" s="33" t="str">
        <f>発注書!$D$3</f>
        <v>イルミナジョブ＆カレッジ千葉中央校</v>
      </c>
      <c r="E407" s="34" t="str">
        <f>発注書!$I$1</f>
        <v xml:space="preserve">2025年12月9日	</v>
      </c>
      <c r="F407" s="33" t="str">
        <f>発注書!N84</f>
        <v/>
      </c>
      <c r="G407" s="33" t="str">
        <f>発注書!O84</f>
        <v/>
      </c>
      <c r="H407" s="33">
        <f>発注書!P84</f>
        <v>0</v>
      </c>
      <c r="I407" s="33">
        <v>0</v>
      </c>
      <c r="J407" s="33" t="str">
        <f t="shared" si="10"/>
        <v/>
      </c>
      <c r="K407" s="33" t="e">
        <f>発注書!$O$5</f>
        <v>#N/A</v>
      </c>
    </row>
    <row r="408" spans="1:11" x14ac:dyDescent="0.15">
      <c r="A408" s="33">
        <f t="shared" si="9"/>
        <v>407</v>
      </c>
      <c r="B408" s="33">
        <v>2</v>
      </c>
      <c r="C408" s="33" t="str">
        <f>発注書!$C$3</f>
        <v>bb02787</v>
      </c>
      <c r="D408" s="33" t="str">
        <f>発注書!$D$3</f>
        <v>イルミナジョブ＆カレッジ千葉中央校</v>
      </c>
      <c r="E408" s="34" t="str">
        <f>発注書!$I$1</f>
        <v xml:space="preserve">2025年12月9日	</v>
      </c>
      <c r="F408" s="33" t="str">
        <f>発注書!N85</f>
        <v/>
      </c>
      <c r="G408" s="33" t="str">
        <f>発注書!O85</f>
        <v/>
      </c>
      <c r="H408" s="33">
        <f>発注書!P85</f>
        <v>0</v>
      </c>
      <c r="I408" s="33">
        <v>0</v>
      </c>
      <c r="J408" s="33" t="str">
        <f t="shared" si="10"/>
        <v/>
      </c>
      <c r="K408" s="33" t="e">
        <f>発注書!$O$5</f>
        <v>#N/A</v>
      </c>
    </row>
    <row r="409" spans="1:11" x14ac:dyDescent="0.15">
      <c r="A409" s="33">
        <f t="shared" si="9"/>
        <v>408</v>
      </c>
      <c r="B409" s="33">
        <v>2</v>
      </c>
      <c r="C409" s="33" t="str">
        <f>発注書!$C$3</f>
        <v>bb02787</v>
      </c>
      <c r="D409" s="33" t="str">
        <f>発注書!$D$3</f>
        <v>イルミナジョブ＆カレッジ千葉中央校</v>
      </c>
      <c r="E409" s="34" t="str">
        <f>発注書!$I$1</f>
        <v xml:space="preserve">2025年12月9日	</v>
      </c>
      <c r="F409" s="33" t="str">
        <f>発注書!N86</f>
        <v/>
      </c>
      <c r="G409" s="33" t="str">
        <f>発注書!O86</f>
        <v/>
      </c>
      <c r="H409" s="33">
        <f>発注書!P86</f>
        <v>0</v>
      </c>
      <c r="I409" s="33">
        <v>0</v>
      </c>
      <c r="J409" s="33" t="str">
        <f t="shared" si="10"/>
        <v/>
      </c>
      <c r="K409" s="33" t="e">
        <f>発注書!$O$5</f>
        <v>#N/A</v>
      </c>
    </row>
  </sheetData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4FED-AD4B-47E6-92DC-5228EF34EE0A}">
  <dimension ref="A1:C50"/>
  <sheetViews>
    <sheetView topLeftCell="A10" zoomScale="130" zoomScaleNormal="130" workbookViewId="0">
      <selection activeCell="A26" sqref="A26"/>
    </sheetView>
  </sheetViews>
  <sheetFormatPr defaultRowHeight="13.5" x14ac:dyDescent="0.15"/>
  <cols>
    <col min="1" max="1" width="11.75" bestFit="1" customWidth="1"/>
    <col min="2" max="2" width="25.625" bestFit="1" customWidth="1"/>
    <col min="3" max="3" width="12.875" bestFit="1" customWidth="1"/>
  </cols>
  <sheetData>
    <row r="1" spans="1:3" x14ac:dyDescent="0.15">
      <c r="A1" t="s">
        <v>14</v>
      </c>
      <c r="B1" t="s">
        <v>15</v>
      </c>
      <c r="C1" t="s">
        <v>24</v>
      </c>
    </row>
    <row r="2" spans="1:3" x14ac:dyDescent="0.15">
      <c r="A2" t="s">
        <v>4</v>
      </c>
      <c r="B2" t="s">
        <v>574</v>
      </c>
      <c r="C2" t="s">
        <v>4</v>
      </c>
    </row>
    <row r="3" spans="1:3" x14ac:dyDescent="0.15">
      <c r="A3" t="s">
        <v>5</v>
      </c>
      <c r="B3" t="s">
        <v>575</v>
      </c>
      <c r="C3" t="s">
        <v>5</v>
      </c>
    </row>
    <row r="4" spans="1:3" x14ac:dyDescent="0.15">
      <c r="A4" t="s">
        <v>6</v>
      </c>
      <c r="B4" t="s">
        <v>971</v>
      </c>
      <c r="C4" t="s">
        <v>6</v>
      </c>
    </row>
    <row r="5" spans="1:3" x14ac:dyDescent="0.15">
      <c r="A5" t="s">
        <v>7</v>
      </c>
      <c r="B5" t="s">
        <v>576</v>
      </c>
      <c r="C5" t="s">
        <v>7</v>
      </c>
    </row>
    <row r="6" spans="1:3" x14ac:dyDescent="0.15">
      <c r="A6" t="s">
        <v>8</v>
      </c>
      <c r="B6" t="s">
        <v>958</v>
      </c>
      <c r="C6" t="s">
        <v>8</v>
      </c>
    </row>
    <row r="7" spans="1:3" x14ac:dyDescent="0.15">
      <c r="A7" t="s">
        <v>9</v>
      </c>
      <c r="B7" t="s">
        <v>577</v>
      </c>
      <c r="C7" t="s">
        <v>9</v>
      </c>
    </row>
    <row r="8" spans="1:3" x14ac:dyDescent="0.15">
      <c r="A8" t="s">
        <v>10</v>
      </c>
      <c r="B8" t="s">
        <v>1088</v>
      </c>
      <c r="C8" t="s">
        <v>10</v>
      </c>
    </row>
    <row r="9" spans="1:3" x14ac:dyDescent="0.15">
      <c r="A9" t="s">
        <v>11</v>
      </c>
      <c r="B9" t="s">
        <v>578</v>
      </c>
      <c r="C9" t="s">
        <v>11</v>
      </c>
    </row>
    <row r="10" spans="1:3" x14ac:dyDescent="0.15">
      <c r="A10" t="s">
        <v>12</v>
      </c>
      <c r="B10" t="s">
        <v>322</v>
      </c>
      <c r="C10" t="s">
        <v>12</v>
      </c>
    </row>
    <row r="11" spans="1:3" x14ac:dyDescent="0.15">
      <c r="A11" t="s">
        <v>18</v>
      </c>
      <c r="B11" t="s">
        <v>579</v>
      </c>
      <c r="C11" t="s">
        <v>18</v>
      </c>
    </row>
    <row r="12" spans="1:3" x14ac:dyDescent="0.15">
      <c r="A12" t="s">
        <v>390</v>
      </c>
      <c r="B12" t="s">
        <v>578</v>
      </c>
      <c r="C12" t="s">
        <v>390</v>
      </c>
    </row>
    <row r="13" spans="1:3" x14ac:dyDescent="0.15">
      <c r="A13" t="s">
        <v>391</v>
      </c>
      <c r="B13" t="s">
        <v>580</v>
      </c>
      <c r="C13" t="s">
        <v>391</v>
      </c>
    </row>
    <row r="14" spans="1:3" x14ac:dyDescent="0.15">
      <c r="A14" t="s">
        <v>392</v>
      </c>
      <c r="B14" t="s">
        <v>580</v>
      </c>
      <c r="C14" t="s">
        <v>392</v>
      </c>
    </row>
    <row r="15" spans="1:3" x14ac:dyDescent="0.15">
      <c r="A15" t="s">
        <v>393</v>
      </c>
      <c r="B15" t="s">
        <v>581</v>
      </c>
      <c r="C15" t="s">
        <v>393</v>
      </c>
    </row>
    <row r="16" spans="1:3" x14ac:dyDescent="0.15">
      <c r="A16" t="s">
        <v>582</v>
      </c>
      <c r="B16" t="s">
        <v>322</v>
      </c>
      <c r="C16" t="s">
        <v>582</v>
      </c>
    </row>
    <row r="17" spans="1:3" x14ac:dyDescent="0.15">
      <c r="A17" t="s">
        <v>394</v>
      </c>
      <c r="B17" t="s">
        <v>583</v>
      </c>
      <c r="C17" t="s">
        <v>394</v>
      </c>
    </row>
    <row r="18" spans="1:3" x14ac:dyDescent="0.15">
      <c r="A18" t="s">
        <v>395</v>
      </c>
      <c r="B18" t="s">
        <v>580</v>
      </c>
      <c r="C18" t="s">
        <v>395</v>
      </c>
    </row>
    <row r="19" spans="1:3" x14ac:dyDescent="0.15">
      <c r="A19" t="s">
        <v>396</v>
      </c>
      <c r="B19" t="s">
        <v>584</v>
      </c>
      <c r="C19" t="s">
        <v>396</v>
      </c>
    </row>
    <row r="20" spans="1:3" x14ac:dyDescent="0.15">
      <c r="A20" t="s">
        <v>397</v>
      </c>
      <c r="B20" t="s">
        <v>322</v>
      </c>
      <c r="C20" t="s">
        <v>397</v>
      </c>
    </row>
    <row r="21" spans="1:3" x14ac:dyDescent="0.15">
      <c r="A21" t="s">
        <v>585</v>
      </c>
      <c r="B21" t="s">
        <v>322</v>
      </c>
      <c r="C21" t="s">
        <v>585</v>
      </c>
    </row>
    <row r="22" spans="1:3" x14ac:dyDescent="0.15">
      <c r="A22" t="s">
        <v>586</v>
      </c>
      <c r="B22" t="s">
        <v>584</v>
      </c>
      <c r="C22" t="s">
        <v>586</v>
      </c>
    </row>
    <row r="23" spans="1:3" x14ac:dyDescent="0.15">
      <c r="A23" t="s">
        <v>587</v>
      </c>
      <c r="B23" t="s">
        <v>322</v>
      </c>
      <c r="C23" t="s">
        <v>587</v>
      </c>
    </row>
    <row r="24" spans="1:3" x14ac:dyDescent="0.15">
      <c r="A24" t="s">
        <v>588</v>
      </c>
      <c r="B24" t="s">
        <v>322</v>
      </c>
      <c r="C24" t="s">
        <v>588</v>
      </c>
    </row>
    <row r="25" spans="1:3" x14ac:dyDescent="0.15">
      <c r="A25" t="s">
        <v>589</v>
      </c>
      <c r="B25" t="s">
        <v>1079</v>
      </c>
      <c r="C25" t="s">
        <v>589</v>
      </c>
    </row>
    <row r="26" spans="1:3" x14ac:dyDescent="0.15">
      <c r="A26" t="s">
        <v>590</v>
      </c>
      <c r="B26" t="s">
        <v>972</v>
      </c>
      <c r="C26" t="s">
        <v>590</v>
      </c>
    </row>
    <row r="27" spans="1:3" x14ac:dyDescent="0.15">
      <c r="A27" t="s">
        <v>591</v>
      </c>
      <c r="B27" t="s">
        <v>959</v>
      </c>
      <c r="C27" t="s">
        <v>591</v>
      </c>
    </row>
    <row r="28" spans="1:3" x14ac:dyDescent="0.15">
      <c r="A28" t="s">
        <v>592</v>
      </c>
      <c r="B28" t="s">
        <v>593</v>
      </c>
      <c r="C28" t="s">
        <v>592</v>
      </c>
    </row>
    <row r="29" spans="1:3" x14ac:dyDescent="0.15">
      <c r="A29" t="s">
        <v>594</v>
      </c>
      <c r="B29" t="s">
        <v>595</v>
      </c>
      <c r="C29" t="s">
        <v>594</v>
      </c>
    </row>
    <row r="30" spans="1:3" x14ac:dyDescent="0.15">
      <c r="A30" t="s">
        <v>39</v>
      </c>
      <c r="B30" t="s">
        <v>581</v>
      </c>
      <c r="C30" t="s">
        <v>39</v>
      </c>
    </row>
    <row r="31" spans="1:3" x14ac:dyDescent="0.15">
      <c r="A31" t="s">
        <v>40</v>
      </c>
      <c r="B31" t="s">
        <v>583</v>
      </c>
      <c r="C31" t="s">
        <v>40</v>
      </c>
    </row>
    <row r="32" spans="1:3" x14ac:dyDescent="0.15">
      <c r="A32" t="s">
        <v>41</v>
      </c>
      <c r="B32" t="s">
        <v>580</v>
      </c>
      <c r="C32" t="s">
        <v>41</v>
      </c>
    </row>
    <row r="33" spans="1:3" x14ac:dyDescent="0.15">
      <c r="A33" t="s">
        <v>42</v>
      </c>
      <c r="B33" t="s">
        <v>581</v>
      </c>
      <c r="C33" t="s">
        <v>42</v>
      </c>
    </row>
    <row r="34" spans="1:3" x14ac:dyDescent="0.15">
      <c r="A34" t="s">
        <v>398</v>
      </c>
      <c r="B34" t="s">
        <v>581</v>
      </c>
      <c r="C34" t="s">
        <v>398</v>
      </c>
    </row>
    <row r="35" spans="1:3" x14ac:dyDescent="0.15">
      <c r="A35" t="s">
        <v>399</v>
      </c>
      <c r="B35" t="s">
        <v>583</v>
      </c>
      <c r="C35" t="s">
        <v>399</v>
      </c>
    </row>
    <row r="36" spans="1:3" x14ac:dyDescent="0.15">
      <c r="A36" t="s">
        <v>596</v>
      </c>
      <c r="B36" t="s">
        <v>597</v>
      </c>
      <c r="C36" t="s">
        <v>596</v>
      </c>
    </row>
    <row r="37" spans="1:3" x14ac:dyDescent="0.15">
      <c r="A37" t="s">
        <v>43</v>
      </c>
      <c r="B37" t="s">
        <v>970</v>
      </c>
      <c r="C37" t="s">
        <v>43</v>
      </c>
    </row>
    <row r="38" spans="1:3" x14ac:dyDescent="0.15">
      <c r="A38" t="s">
        <v>44</v>
      </c>
      <c r="B38" t="s">
        <v>19</v>
      </c>
      <c r="C38" t="s">
        <v>44</v>
      </c>
    </row>
    <row r="39" spans="1:3" x14ac:dyDescent="0.15">
      <c r="A39" t="s">
        <v>303</v>
      </c>
      <c r="B39" t="s">
        <v>970</v>
      </c>
      <c r="C39" t="s">
        <v>303</v>
      </c>
    </row>
    <row r="40" spans="1:3" x14ac:dyDescent="0.15">
      <c r="A40" t="s">
        <v>304</v>
      </c>
      <c r="B40" t="s">
        <v>957</v>
      </c>
      <c r="C40" t="s">
        <v>304</v>
      </c>
    </row>
    <row r="41" spans="1:3" x14ac:dyDescent="0.15">
      <c r="A41" t="s">
        <v>45</v>
      </c>
      <c r="B41" t="s">
        <v>46</v>
      </c>
      <c r="C41" t="s">
        <v>45</v>
      </c>
    </row>
    <row r="42" spans="1:3" x14ac:dyDescent="0.15">
      <c r="A42" t="s">
        <v>305</v>
      </c>
      <c r="B42" t="s">
        <v>48</v>
      </c>
      <c r="C42" t="s">
        <v>305</v>
      </c>
    </row>
    <row r="43" spans="1:3" x14ac:dyDescent="0.15">
      <c r="A43" t="s">
        <v>47</v>
      </c>
      <c r="B43" t="s">
        <v>306</v>
      </c>
      <c r="C43" t="s">
        <v>47</v>
      </c>
    </row>
    <row r="44" spans="1:3" x14ac:dyDescent="0.15">
      <c r="A44" t="s">
        <v>49</v>
      </c>
      <c r="B44" t="s">
        <v>20</v>
      </c>
      <c r="C44" t="s">
        <v>49</v>
      </c>
    </row>
    <row r="45" spans="1:3" x14ac:dyDescent="0.15">
      <c r="A45" t="s">
        <v>51</v>
      </c>
      <c r="B45" t="s">
        <v>50</v>
      </c>
      <c r="C45" t="s">
        <v>51</v>
      </c>
    </row>
    <row r="46" spans="1:3" x14ac:dyDescent="0.15">
      <c r="A46" t="s">
        <v>52</v>
      </c>
      <c r="B46" t="s">
        <v>53</v>
      </c>
      <c r="C46" t="s">
        <v>52</v>
      </c>
    </row>
    <row r="47" spans="1:3" x14ac:dyDescent="0.15">
      <c r="A47" t="s">
        <v>54</v>
      </c>
      <c r="B47" t="s">
        <v>55</v>
      </c>
      <c r="C47" t="s">
        <v>54</v>
      </c>
    </row>
    <row r="48" spans="1:3" x14ac:dyDescent="0.15">
      <c r="A48" t="s">
        <v>598</v>
      </c>
      <c r="B48" t="s">
        <v>599</v>
      </c>
      <c r="C48" t="s">
        <v>598</v>
      </c>
    </row>
    <row r="49" spans="1:3" x14ac:dyDescent="0.15">
      <c r="A49" t="s">
        <v>600</v>
      </c>
      <c r="B49" t="s">
        <v>601</v>
      </c>
      <c r="C49" t="s">
        <v>600</v>
      </c>
    </row>
    <row r="50" spans="1:3" x14ac:dyDescent="0.15">
      <c r="A50" t="s">
        <v>602</v>
      </c>
      <c r="B50" t="s">
        <v>603</v>
      </c>
      <c r="C50" t="s">
        <v>602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030C-4757-4606-9881-01DB323D2B6B}">
  <dimension ref="A1:C837"/>
  <sheetViews>
    <sheetView topLeftCell="A19" workbookViewId="0">
      <selection activeCell="B32" sqref="B32"/>
    </sheetView>
  </sheetViews>
  <sheetFormatPr defaultRowHeight="13.5" x14ac:dyDescent="0.15"/>
  <cols>
    <col min="1" max="1" width="11.75" bestFit="1" customWidth="1"/>
    <col min="2" max="2" width="12.75" bestFit="1" customWidth="1"/>
    <col min="3" max="5" width="32.5" bestFit="1" customWidth="1"/>
  </cols>
  <sheetData>
    <row r="1" spans="1:3" x14ac:dyDescent="0.15">
      <c r="A1" t="s">
        <v>14</v>
      </c>
      <c r="B1" t="s">
        <v>13</v>
      </c>
      <c r="C1" t="s">
        <v>400</v>
      </c>
    </row>
    <row r="2" spans="1:3" x14ac:dyDescent="0.15">
      <c r="A2" t="s">
        <v>4</v>
      </c>
      <c r="B2" s="42" t="s">
        <v>27</v>
      </c>
      <c r="C2" t="s">
        <v>1122</v>
      </c>
    </row>
    <row r="3" spans="1:3" x14ac:dyDescent="0.15">
      <c r="A3" t="s">
        <v>4</v>
      </c>
      <c r="B3" t="s">
        <v>28</v>
      </c>
      <c r="C3" t="s">
        <v>605</v>
      </c>
    </row>
    <row r="4" spans="1:3" x14ac:dyDescent="0.15">
      <c r="A4" t="s">
        <v>4</v>
      </c>
      <c r="B4" t="s">
        <v>29</v>
      </c>
      <c r="C4" t="s">
        <v>307</v>
      </c>
    </row>
    <row r="5" spans="1:3" x14ac:dyDescent="0.15">
      <c r="A5" t="s">
        <v>4</v>
      </c>
      <c r="B5" t="s">
        <v>30</v>
      </c>
      <c r="C5" t="s">
        <v>308</v>
      </c>
    </row>
    <row r="6" spans="1:3" x14ac:dyDescent="0.15">
      <c r="A6" t="s">
        <v>4</v>
      </c>
      <c r="B6" t="s">
        <v>31</v>
      </c>
      <c r="C6" t="s">
        <v>309</v>
      </c>
    </row>
    <row r="7" spans="1:3" x14ac:dyDescent="0.15">
      <c r="A7" t="s">
        <v>4</v>
      </c>
      <c r="B7" t="s">
        <v>32</v>
      </c>
      <c r="C7" t="s">
        <v>953</v>
      </c>
    </row>
    <row r="8" spans="1:3" x14ac:dyDescent="0.15">
      <c r="A8" t="s">
        <v>4</v>
      </c>
      <c r="B8" t="s">
        <v>33</v>
      </c>
      <c r="C8" t="s">
        <v>310</v>
      </c>
    </row>
    <row r="9" spans="1:3" x14ac:dyDescent="0.15">
      <c r="A9" t="s">
        <v>4</v>
      </c>
      <c r="B9" t="s">
        <v>34</v>
      </c>
      <c r="C9" t="s">
        <v>401</v>
      </c>
    </row>
    <row r="10" spans="1:3" x14ac:dyDescent="0.15">
      <c r="A10" t="s">
        <v>4</v>
      </c>
      <c r="B10" t="s">
        <v>35</v>
      </c>
      <c r="C10" t="s">
        <v>606</v>
      </c>
    </row>
    <row r="11" spans="1:3" x14ac:dyDescent="0.15">
      <c r="A11" t="s">
        <v>4</v>
      </c>
      <c r="B11" t="s">
        <v>58</v>
      </c>
      <c r="C11" t="s">
        <v>312</v>
      </c>
    </row>
    <row r="12" spans="1:3" x14ac:dyDescent="0.15">
      <c r="A12" t="s">
        <v>4</v>
      </c>
      <c r="B12" t="s">
        <v>59</v>
      </c>
      <c r="C12" t="s">
        <v>960</v>
      </c>
    </row>
    <row r="13" spans="1:3" x14ac:dyDescent="0.15">
      <c r="A13" t="s">
        <v>4</v>
      </c>
      <c r="B13" t="s">
        <v>60</v>
      </c>
      <c r="C13" t="s">
        <v>607</v>
      </c>
    </row>
    <row r="14" spans="1:3" x14ac:dyDescent="0.15">
      <c r="A14" t="s">
        <v>4</v>
      </c>
      <c r="B14" t="s">
        <v>61</v>
      </c>
      <c r="C14" t="s">
        <v>608</v>
      </c>
    </row>
    <row r="15" spans="1:3" x14ac:dyDescent="0.15">
      <c r="A15" t="s">
        <v>4</v>
      </c>
      <c r="B15" t="s">
        <v>62</v>
      </c>
      <c r="C15" t="s">
        <v>609</v>
      </c>
    </row>
    <row r="16" spans="1:3" x14ac:dyDescent="0.15">
      <c r="A16" t="s">
        <v>4</v>
      </c>
      <c r="B16" t="s">
        <v>63</v>
      </c>
      <c r="C16" t="s">
        <v>955</v>
      </c>
    </row>
    <row r="17" spans="1:3" x14ac:dyDescent="0.15">
      <c r="A17" t="s">
        <v>4</v>
      </c>
      <c r="B17" t="s">
        <v>64</v>
      </c>
      <c r="C17" t="s">
        <v>403</v>
      </c>
    </row>
    <row r="18" spans="1:3" x14ac:dyDescent="0.15">
      <c r="A18" t="s">
        <v>4</v>
      </c>
      <c r="B18" t="s">
        <v>65</v>
      </c>
      <c r="C18" t="s">
        <v>954</v>
      </c>
    </row>
    <row r="19" spans="1:3" x14ac:dyDescent="0.15">
      <c r="A19" t="s">
        <v>4</v>
      </c>
      <c r="B19" t="s">
        <v>66</v>
      </c>
      <c r="C19" t="s">
        <v>610</v>
      </c>
    </row>
    <row r="20" spans="1:3" x14ac:dyDescent="0.15">
      <c r="A20" t="s">
        <v>4</v>
      </c>
      <c r="B20" t="s">
        <v>67</v>
      </c>
      <c r="C20" t="s">
        <v>611</v>
      </c>
    </row>
    <row r="21" spans="1:3" x14ac:dyDescent="0.15">
      <c r="A21" t="s">
        <v>4</v>
      </c>
      <c r="B21" t="s">
        <v>68</v>
      </c>
      <c r="C21" t="s">
        <v>612</v>
      </c>
    </row>
    <row r="22" spans="1:3" x14ac:dyDescent="0.15">
      <c r="A22" t="s">
        <v>4</v>
      </c>
      <c r="B22" t="s">
        <v>69</v>
      </c>
      <c r="C22" t="s">
        <v>940</v>
      </c>
    </row>
    <row r="23" spans="1:3" x14ac:dyDescent="0.15">
      <c r="A23" t="s">
        <v>4</v>
      </c>
      <c r="B23" t="s">
        <v>70</v>
      </c>
      <c r="C23" t="s">
        <v>613</v>
      </c>
    </row>
    <row r="24" spans="1:3" x14ac:dyDescent="0.15">
      <c r="A24" t="s">
        <v>4</v>
      </c>
      <c r="B24" t="s">
        <v>71</v>
      </c>
      <c r="C24" t="s">
        <v>328</v>
      </c>
    </row>
    <row r="25" spans="1:3" x14ac:dyDescent="0.15">
      <c r="A25" t="s">
        <v>4</v>
      </c>
      <c r="B25" t="s">
        <v>72</v>
      </c>
      <c r="C25" t="s">
        <v>409</v>
      </c>
    </row>
    <row r="26" spans="1:3" x14ac:dyDescent="0.15">
      <c r="A26" t="s">
        <v>4</v>
      </c>
      <c r="B26" t="s">
        <v>73</v>
      </c>
      <c r="C26" t="s">
        <v>614</v>
      </c>
    </row>
    <row r="27" spans="1:3" x14ac:dyDescent="0.15">
      <c r="A27" t="s">
        <v>4</v>
      </c>
      <c r="B27" t="s">
        <v>74</v>
      </c>
      <c r="C27" t="s">
        <v>311</v>
      </c>
    </row>
    <row r="28" spans="1:3" x14ac:dyDescent="0.15">
      <c r="A28" t="s">
        <v>4</v>
      </c>
      <c r="B28" t="s">
        <v>75</v>
      </c>
      <c r="C28" t="s">
        <v>1081</v>
      </c>
    </row>
    <row r="29" spans="1:3" x14ac:dyDescent="0.15">
      <c r="A29" t="s">
        <v>4</v>
      </c>
      <c r="B29" t="s">
        <v>76</v>
      </c>
      <c r="C29" t="s">
        <v>1043</v>
      </c>
    </row>
    <row r="30" spans="1:3" x14ac:dyDescent="0.15">
      <c r="A30" t="s">
        <v>4</v>
      </c>
      <c r="B30" t="s">
        <v>77</v>
      </c>
      <c r="C30" t="s">
        <v>1116</v>
      </c>
    </row>
    <row r="31" spans="1:3" x14ac:dyDescent="0.15">
      <c r="A31" t="s">
        <v>4</v>
      </c>
      <c r="B31" t="s">
        <v>78</v>
      </c>
      <c r="C31" t="s">
        <v>327</v>
      </c>
    </row>
    <row r="32" spans="1:3" x14ac:dyDescent="0.15">
      <c r="A32" t="s">
        <v>4</v>
      </c>
      <c r="B32" t="s">
        <v>616</v>
      </c>
      <c r="C32" t="s">
        <v>1044</v>
      </c>
    </row>
    <row r="33" spans="1:3" x14ac:dyDescent="0.15">
      <c r="A33" t="s">
        <v>4</v>
      </c>
      <c r="B33" t="s">
        <v>617</v>
      </c>
      <c r="C33" t="s">
        <v>618</v>
      </c>
    </row>
    <row r="34" spans="1:3" x14ac:dyDescent="0.15">
      <c r="A34" t="s">
        <v>4</v>
      </c>
      <c r="B34" t="s">
        <v>619</v>
      </c>
      <c r="C34" t="s">
        <v>314</v>
      </c>
    </row>
    <row r="35" spans="1:3" x14ac:dyDescent="0.15">
      <c r="A35" t="s">
        <v>4</v>
      </c>
      <c r="B35" t="s">
        <v>620</v>
      </c>
      <c r="C35" t="s">
        <v>315</v>
      </c>
    </row>
    <row r="36" spans="1:3" x14ac:dyDescent="0.15">
      <c r="A36" t="s">
        <v>4</v>
      </c>
      <c r="B36" t="s">
        <v>621</v>
      </c>
      <c r="C36" t="s">
        <v>316</v>
      </c>
    </row>
    <row r="37" spans="1:3" x14ac:dyDescent="0.15">
      <c r="A37" t="s">
        <v>4</v>
      </c>
      <c r="B37" t="s">
        <v>622</v>
      </c>
      <c r="C37" t="s">
        <v>623</v>
      </c>
    </row>
    <row r="38" spans="1:3" x14ac:dyDescent="0.15">
      <c r="A38" t="s">
        <v>4</v>
      </c>
      <c r="B38" t="s">
        <v>624</v>
      </c>
      <c r="C38" t="s">
        <v>318</v>
      </c>
    </row>
    <row r="39" spans="1:3" x14ac:dyDescent="0.15">
      <c r="A39" t="s">
        <v>4</v>
      </c>
      <c r="B39" t="s">
        <v>625</v>
      </c>
      <c r="C39" t="s">
        <v>319</v>
      </c>
    </row>
    <row r="40" spans="1:3" x14ac:dyDescent="0.15">
      <c r="A40" t="s">
        <v>4</v>
      </c>
      <c r="B40" t="s">
        <v>626</v>
      </c>
      <c r="C40" t="s">
        <v>326</v>
      </c>
    </row>
    <row r="41" spans="1:3" x14ac:dyDescent="0.15">
      <c r="A41" t="s">
        <v>4</v>
      </c>
      <c r="B41" t="s">
        <v>627</v>
      </c>
      <c r="C41" t="s">
        <v>320</v>
      </c>
    </row>
    <row r="42" spans="1:3" x14ac:dyDescent="0.15">
      <c r="A42" t="s">
        <v>4</v>
      </c>
      <c r="B42" t="s">
        <v>628</v>
      </c>
      <c r="C42" t="s">
        <v>317</v>
      </c>
    </row>
    <row r="43" spans="1:3" x14ac:dyDescent="0.15">
      <c r="A43" t="s">
        <v>4</v>
      </c>
      <c r="B43" t="s">
        <v>629</v>
      </c>
      <c r="C43" t="s">
        <v>1084</v>
      </c>
    </row>
    <row r="44" spans="1:3" x14ac:dyDescent="0.15">
      <c r="A44" t="s">
        <v>4</v>
      </c>
      <c r="B44" t="s">
        <v>630</v>
      </c>
      <c r="C44" t="s">
        <v>321</v>
      </c>
    </row>
    <row r="45" spans="1:3" x14ac:dyDescent="0.15">
      <c r="A45" t="s">
        <v>4</v>
      </c>
      <c r="B45" t="s">
        <v>631</v>
      </c>
      <c r="C45" t="s">
        <v>950</v>
      </c>
    </row>
    <row r="46" spans="1:3" x14ac:dyDescent="0.15">
      <c r="A46" t="s">
        <v>4</v>
      </c>
      <c r="B46" t="s">
        <v>632</v>
      </c>
      <c r="C46" t="s">
        <v>633</v>
      </c>
    </row>
    <row r="47" spans="1:3" x14ac:dyDescent="0.15">
      <c r="A47" t="s">
        <v>4</v>
      </c>
      <c r="B47" t="s">
        <v>634</v>
      </c>
      <c r="C47" t="s">
        <v>1082</v>
      </c>
    </row>
    <row r="48" spans="1:3" x14ac:dyDescent="0.15">
      <c r="A48" t="s">
        <v>4</v>
      </c>
      <c r="B48" t="s">
        <v>635</v>
      </c>
      <c r="C48" t="s">
        <v>404</v>
      </c>
    </row>
    <row r="49" spans="1:3" x14ac:dyDescent="0.15">
      <c r="A49" t="s">
        <v>4</v>
      </c>
      <c r="B49" t="s">
        <v>636</v>
      </c>
      <c r="C49" t="s">
        <v>637</v>
      </c>
    </row>
    <row r="50" spans="1:3" x14ac:dyDescent="0.15">
      <c r="A50" t="s">
        <v>4</v>
      </c>
      <c r="B50" t="s">
        <v>638</v>
      </c>
      <c r="C50" t="s">
        <v>1117</v>
      </c>
    </row>
    <row r="51" spans="1:3" x14ac:dyDescent="0.15">
      <c r="A51" t="s">
        <v>4</v>
      </c>
      <c r="B51" t="s">
        <v>639</v>
      </c>
      <c r="C51" t="s">
        <v>640</v>
      </c>
    </row>
    <row r="52" spans="1:3" x14ac:dyDescent="0.15">
      <c r="A52" t="s">
        <v>4</v>
      </c>
      <c r="B52" t="s">
        <v>641</v>
      </c>
      <c r="C52" t="s">
        <v>941</v>
      </c>
    </row>
    <row r="53" spans="1:3" x14ac:dyDescent="0.15">
      <c r="A53" t="s">
        <v>4</v>
      </c>
      <c r="B53" t="s">
        <v>642</v>
      </c>
      <c r="C53" t="s">
        <v>406</v>
      </c>
    </row>
    <row r="54" spans="1:3" x14ac:dyDescent="0.15">
      <c r="A54" t="s">
        <v>4</v>
      </c>
      <c r="B54" t="s">
        <v>643</v>
      </c>
      <c r="C54" t="s">
        <v>951</v>
      </c>
    </row>
    <row r="55" spans="1:3" x14ac:dyDescent="0.15">
      <c r="A55" t="s">
        <v>4</v>
      </c>
      <c r="B55" t="s">
        <v>644</v>
      </c>
      <c r="C55" t="s">
        <v>1085</v>
      </c>
    </row>
    <row r="56" spans="1:3" x14ac:dyDescent="0.15">
      <c r="A56" t="s">
        <v>4</v>
      </c>
      <c r="B56" t="s">
        <v>645</v>
      </c>
      <c r="C56" t="s">
        <v>646</v>
      </c>
    </row>
    <row r="57" spans="1:3" x14ac:dyDescent="0.15">
      <c r="A57" t="s">
        <v>4</v>
      </c>
      <c r="B57" t="s">
        <v>647</v>
      </c>
      <c r="C57" t="s">
        <v>648</v>
      </c>
    </row>
    <row r="58" spans="1:3" x14ac:dyDescent="0.15">
      <c r="A58" t="s">
        <v>4</v>
      </c>
      <c r="B58" t="s">
        <v>649</v>
      </c>
      <c r="C58" t="s">
        <v>1123</v>
      </c>
    </row>
    <row r="59" spans="1:3" x14ac:dyDescent="0.15">
      <c r="A59" t="s">
        <v>4</v>
      </c>
      <c r="B59" t="s">
        <v>650</v>
      </c>
      <c r="C59" t="s">
        <v>322</v>
      </c>
    </row>
    <row r="60" spans="1:3" x14ac:dyDescent="0.15">
      <c r="A60" t="s">
        <v>4</v>
      </c>
      <c r="B60" t="s">
        <v>651</v>
      </c>
      <c r="C60" t="s">
        <v>615</v>
      </c>
    </row>
    <row r="61" spans="1:3" x14ac:dyDescent="0.15">
      <c r="A61" t="s">
        <v>4</v>
      </c>
      <c r="B61" t="s">
        <v>652</v>
      </c>
      <c r="C61" t="s">
        <v>405</v>
      </c>
    </row>
    <row r="62" spans="1:3" x14ac:dyDescent="0.15">
      <c r="A62" t="s">
        <v>4</v>
      </c>
      <c r="B62" t="s">
        <v>1089</v>
      </c>
      <c r="C62" t="s">
        <v>604</v>
      </c>
    </row>
    <row r="63" spans="1:3" x14ac:dyDescent="0.15">
      <c r="A63" t="s">
        <v>4</v>
      </c>
      <c r="B63" t="s">
        <v>1090</v>
      </c>
      <c r="C63" t="s">
        <v>322</v>
      </c>
    </row>
    <row r="64" spans="1:3" x14ac:dyDescent="0.15">
      <c r="A64" t="s">
        <v>4</v>
      </c>
      <c r="B64" t="s">
        <v>653</v>
      </c>
      <c r="C64" t="s">
        <v>322</v>
      </c>
    </row>
    <row r="65" spans="1:3" x14ac:dyDescent="0.15">
      <c r="A65" t="s">
        <v>4</v>
      </c>
      <c r="B65" t="s">
        <v>654</v>
      </c>
      <c r="C65" t="s">
        <v>322</v>
      </c>
    </row>
    <row r="66" spans="1:3" x14ac:dyDescent="0.15">
      <c r="A66" t="s">
        <v>4</v>
      </c>
      <c r="B66" t="s">
        <v>655</v>
      </c>
      <c r="C66" t="s">
        <v>322</v>
      </c>
    </row>
    <row r="67" spans="1:3" x14ac:dyDescent="0.15">
      <c r="A67" t="s">
        <v>4</v>
      </c>
      <c r="B67" t="s">
        <v>656</v>
      </c>
      <c r="C67" t="s">
        <v>322</v>
      </c>
    </row>
    <row r="68" spans="1:3" x14ac:dyDescent="0.15">
      <c r="A68" t="s">
        <v>4</v>
      </c>
      <c r="B68" t="s">
        <v>657</v>
      </c>
      <c r="C68" t="s">
        <v>322</v>
      </c>
    </row>
    <row r="69" spans="1:3" x14ac:dyDescent="0.15">
      <c r="A69" t="s">
        <v>4</v>
      </c>
      <c r="B69" t="s">
        <v>658</v>
      </c>
      <c r="C69" t="s">
        <v>322</v>
      </c>
    </row>
    <row r="70" spans="1:3" x14ac:dyDescent="0.15">
      <c r="A70" t="s">
        <v>4</v>
      </c>
      <c r="B70" t="s">
        <v>659</v>
      </c>
      <c r="C70" t="s">
        <v>322</v>
      </c>
    </row>
    <row r="71" spans="1:3" x14ac:dyDescent="0.15">
      <c r="A71" t="s">
        <v>4</v>
      </c>
      <c r="B71" t="s">
        <v>660</v>
      </c>
      <c r="C71" t="s">
        <v>322</v>
      </c>
    </row>
    <row r="72" spans="1:3" x14ac:dyDescent="0.15">
      <c r="A72" t="s">
        <v>4</v>
      </c>
      <c r="B72" t="s">
        <v>661</v>
      </c>
      <c r="C72" t="s">
        <v>322</v>
      </c>
    </row>
    <row r="73" spans="1:3" x14ac:dyDescent="0.15">
      <c r="A73" t="s">
        <v>4</v>
      </c>
      <c r="B73" t="s">
        <v>662</v>
      </c>
      <c r="C73" t="s">
        <v>322</v>
      </c>
    </row>
    <row r="74" spans="1:3" x14ac:dyDescent="0.15">
      <c r="A74" t="s">
        <v>4</v>
      </c>
      <c r="B74" t="s">
        <v>663</v>
      </c>
      <c r="C74" t="s">
        <v>322</v>
      </c>
    </row>
    <row r="75" spans="1:3" x14ac:dyDescent="0.15">
      <c r="A75" t="s">
        <v>4</v>
      </c>
      <c r="B75" t="s">
        <v>664</v>
      </c>
      <c r="C75" t="s">
        <v>322</v>
      </c>
    </row>
    <row r="76" spans="1:3" x14ac:dyDescent="0.15">
      <c r="A76" t="s">
        <v>4</v>
      </c>
      <c r="B76" t="s">
        <v>665</v>
      </c>
      <c r="C76" t="s">
        <v>322</v>
      </c>
    </row>
    <row r="77" spans="1:3" x14ac:dyDescent="0.15">
      <c r="A77" t="s">
        <v>4</v>
      </c>
      <c r="B77" t="s">
        <v>666</v>
      </c>
      <c r="C77" t="s">
        <v>322</v>
      </c>
    </row>
    <row r="78" spans="1:3" x14ac:dyDescent="0.15">
      <c r="A78" t="s">
        <v>4</v>
      </c>
      <c r="B78" t="s">
        <v>667</v>
      </c>
      <c r="C78" t="s">
        <v>322</v>
      </c>
    </row>
    <row r="79" spans="1:3" x14ac:dyDescent="0.15">
      <c r="A79" t="s">
        <v>4</v>
      </c>
      <c r="B79" t="s">
        <v>668</v>
      </c>
      <c r="C79" t="s">
        <v>322</v>
      </c>
    </row>
    <row r="80" spans="1:3" x14ac:dyDescent="0.15">
      <c r="A80" t="s">
        <v>4</v>
      </c>
      <c r="B80" t="s">
        <v>669</v>
      </c>
      <c r="C80" t="s">
        <v>322</v>
      </c>
    </row>
    <row r="81" spans="1:3" x14ac:dyDescent="0.15">
      <c r="A81" t="s">
        <v>4</v>
      </c>
      <c r="B81" t="s">
        <v>402</v>
      </c>
      <c r="C81" t="s">
        <v>322</v>
      </c>
    </row>
    <row r="82" spans="1:3" x14ac:dyDescent="0.15">
      <c r="A82" t="s">
        <v>5</v>
      </c>
      <c r="B82" t="s">
        <v>36</v>
      </c>
      <c r="C82" t="s">
        <v>1122</v>
      </c>
    </row>
    <row r="83" spans="1:3" x14ac:dyDescent="0.15">
      <c r="A83" t="s">
        <v>5</v>
      </c>
      <c r="B83" t="s">
        <v>37</v>
      </c>
      <c r="C83" t="s">
        <v>605</v>
      </c>
    </row>
    <row r="84" spans="1:3" x14ac:dyDescent="0.15">
      <c r="A84" t="s">
        <v>5</v>
      </c>
      <c r="B84" t="s">
        <v>79</v>
      </c>
      <c r="C84" t="s">
        <v>307</v>
      </c>
    </row>
    <row r="85" spans="1:3" x14ac:dyDescent="0.15">
      <c r="A85" t="s">
        <v>5</v>
      </c>
      <c r="B85" t="s">
        <v>80</v>
      </c>
      <c r="C85" t="s">
        <v>308</v>
      </c>
    </row>
    <row r="86" spans="1:3" x14ac:dyDescent="0.15">
      <c r="A86" t="s">
        <v>5</v>
      </c>
      <c r="B86" t="s">
        <v>81</v>
      </c>
      <c r="C86" t="s">
        <v>309</v>
      </c>
    </row>
    <row r="87" spans="1:3" x14ac:dyDescent="0.15">
      <c r="A87" t="s">
        <v>5</v>
      </c>
      <c r="B87" t="s">
        <v>82</v>
      </c>
      <c r="C87" t="s">
        <v>953</v>
      </c>
    </row>
    <row r="88" spans="1:3" x14ac:dyDescent="0.15">
      <c r="A88" t="s">
        <v>5</v>
      </c>
      <c r="B88" t="s">
        <v>83</v>
      </c>
      <c r="C88" t="s">
        <v>310</v>
      </c>
    </row>
    <row r="89" spans="1:3" x14ac:dyDescent="0.15">
      <c r="A89" t="s">
        <v>5</v>
      </c>
      <c r="B89" t="s">
        <v>84</v>
      </c>
      <c r="C89" t="s">
        <v>401</v>
      </c>
    </row>
    <row r="90" spans="1:3" x14ac:dyDescent="0.15">
      <c r="A90" t="s">
        <v>5</v>
      </c>
      <c r="B90" t="s">
        <v>85</v>
      </c>
      <c r="C90" t="s">
        <v>606</v>
      </c>
    </row>
    <row r="91" spans="1:3" x14ac:dyDescent="0.15">
      <c r="A91" t="s">
        <v>5</v>
      </c>
      <c r="B91" t="s">
        <v>86</v>
      </c>
      <c r="C91" t="s">
        <v>312</v>
      </c>
    </row>
    <row r="92" spans="1:3" x14ac:dyDescent="0.15">
      <c r="A92" t="s">
        <v>5</v>
      </c>
      <c r="B92" t="s">
        <v>87</v>
      </c>
      <c r="C92" t="s">
        <v>960</v>
      </c>
    </row>
    <row r="93" spans="1:3" x14ac:dyDescent="0.15">
      <c r="A93" t="s">
        <v>5</v>
      </c>
      <c r="B93" t="s">
        <v>88</v>
      </c>
      <c r="C93" t="s">
        <v>607</v>
      </c>
    </row>
    <row r="94" spans="1:3" x14ac:dyDescent="0.15">
      <c r="A94" t="s">
        <v>5</v>
      </c>
      <c r="B94" t="s">
        <v>89</v>
      </c>
      <c r="C94" t="s">
        <v>608</v>
      </c>
    </row>
    <row r="95" spans="1:3" x14ac:dyDescent="0.15">
      <c r="A95" t="s">
        <v>5</v>
      </c>
      <c r="B95" t="s">
        <v>90</v>
      </c>
      <c r="C95" t="s">
        <v>609</v>
      </c>
    </row>
    <row r="96" spans="1:3" x14ac:dyDescent="0.15">
      <c r="A96" t="s">
        <v>5</v>
      </c>
      <c r="B96" t="s">
        <v>91</v>
      </c>
      <c r="C96" t="s">
        <v>955</v>
      </c>
    </row>
    <row r="97" spans="1:3" x14ac:dyDescent="0.15">
      <c r="A97" t="s">
        <v>5</v>
      </c>
      <c r="B97" t="s">
        <v>92</v>
      </c>
      <c r="C97" t="s">
        <v>403</v>
      </c>
    </row>
    <row r="98" spans="1:3" x14ac:dyDescent="0.15">
      <c r="A98" t="s">
        <v>5</v>
      </c>
      <c r="B98" t="s">
        <v>93</v>
      </c>
      <c r="C98" t="s">
        <v>954</v>
      </c>
    </row>
    <row r="99" spans="1:3" x14ac:dyDescent="0.15">
      <c r="A99" t="s">
        <v>5</v>
      </c>
      <c r="B99" t="s">
        <v>94</v>
      </c>
      <c r="C99" t="s">
        <v>610</v>
      </c>
    </row>
    <row r="100" spans="1:3" x14ac:dyDescent="0.15">
      <c r="A100" t="s">
        <v>5</v>
      </c>
      <c r="B100" t="s">
        <v>95</v>
      </c>
      <c r="C100" t="s">
        <v>611</v>
      </c>
    </row>
    <row r="101" spans="1:3" x14ac:dyDescent="0.15">
      <c r="A101" t="s">
        <v>5</v>
      </c>
      <c r="B101" t="s">
        <v>96</v>
      </c>
      <c r="C101" t="s">
        <v>612</v>
      </c>
    </row>
    <row r="102" spans="1:3" x14ac:dyDescent="0.15">
      <c r="A102" t="s">
        <v>5</v>
      </c>
      <c r="B102" t="s">
        <v>97</v>
      </c>
      <c r="C102" t="s">
        <v>940</v>
      </c>
    </row>
    <row r="103" spans="1:3" x14ac:dyDescent="0.15">
      <c r="A103" t="s">
        <v>5</v>
      </c>
      <c r="B103" t="s">
        <v>98</v>
      </c>
      <c r="C103" t="s">
        <v>613</v>
      </c>
    </row>
    <row r="104" spans="1:3" x14ac:dyDescent="0.15">
      <c r="A104" t="s">
        <v>5</v>
      </c>
      <c r="B104" t="s">
        <v>99</v>
      </c>
      <c r="C104" t="s">
        <v>328</v>
      </c>
    </row>
    <row r="105" spans="1:3" x14ac:dyDescent="0.15">
      <c r="A105" t="s">
        <v>5</v>
      </c>
      <c r="B105" t="s">
        <v>100</v>
      </c>
      <c r="C105" t="s">
        <v>409</v>
      </c>
    </row>
    <row r="106" spans="1:3" x14ac:dyDescent="0.15">
      <c r="A106" t="s">
        <v>5</v>
      </c>
      <c r="B106" t="s">
        <v>101</v>
      </c>
      <c r="C106" t="s">
        <v>614</v>
      </c>
    </row>
    <row r="107" spans="1:3" x14ac:dyDescent="0.15">
      <c r="A107" t="s">
        <v>5</v>
      </c>
      <c r="B107" t="s">
        <v>102</v>
      </c>
      <c r="C107" t="s">
        <v>311</v>
      </c>
    </row>
    <row r="108" spans="1:3" x14ac:dyDescent="0.15">
      <c r="A108" t="s">
        <v>5</v>
      </c>
      <c r="B108" t="s">
        <v>103</v>
      </c>
      <c r="C108" t="s">
        <v>1081</v>
      </c>
    </row>
    <row r="109" spans="1:3" x14ac:dyDescent="0.15">
      <c r="A109" t="s">
        <v>5</v>
      </c>
      <c r="B109" t="s">
        <v>104</v>
      </c>
      <c r="C109" t="s">
        <v>1043</v>
      </c>
    </row>
    <row r="110" spans="1:3" x14ac:dyDescent="0.15">
      <c r="A110" t="s">
        <v>5</v>
      </c>
      <c r="B110" t="s">
        <v>105</v>
      </c>
      <c r="C110" t="s">
        <v>1116</v>
      </c>
    </row>
    <row r="111" spans="1:3" x14ac:dyDescent="0.15">
      <c r="A111" t="s">
        <v>5</v>
      </c>
      <c r="B111" t="s">
        <v>106</v>
      </c>
      <c r="C111" t="s">
        <v>327</v>
      </c>
    </row>
    <row r="112" spans="1:3" x14ac:dyDescent="0.15">
      <c r="A112" t="s">
        <v>5</v>
      </c>
      <c r="B112" t="s">
        <v>407</v>
      </c>
      <c r="C112" t="s">
        <v>1044</v>
      </c>
    </row>
    <row r="113" spans="1:3" x14ac:dyDescent="0.15">
      <c r="A113" t="s">
        <v>5</v>
      </c>
      <c r="B113" t="s">
        <v>670</v>
      </c>
      <c r="C113" t="s">
        <v>618</v>
      </c>
    </row>
    <row r="114" spans="1:3" x14ac:dyDescent="0.15">
      <c r="A114" t="s">
        <v>5</v>
      </c>
      <c r="B114" t="s">
        <v>671</v>
      </c>
      <c r="C114" t="s">
        <v>314</v>
      </c>
    </row>
    <row r="115" spans="1:3" x14ac:dyDescent="0.15">
      <c r="A115" t="s">
        <v>5</v>
      </c>
      <c r="B115" t="s">
        <v>672</v>
      </c>
      <c r="C115" t="s">
        <v>315</v>
      </c>
    </row>
    <row r="116" spans="1:3" x14ac:dyDescent="0.15">
      <c r="A116" t="s">
        <v>5</v>
      </c>
      <c r="B116" t="s">
        <v>673</v>
      </c>
      <c r="C116" t="s">
        <v>316</v>
      </c>
    </row>
    <row r="117" spans="1:3" x14ac:dyDescent="0.15">
      <c r="A117" t="s">
        <v>5</v>
      </c>
      <c r="B117" t="s">
        <v>674</v>
      </c>
      <c r="C117" t="s">
        <v>623</v>
      </c>
    </row>
    <row r="118" spans="1:3" x14ac:dyDescent="0.15">
      <c r="A118" t="s">
        <v>5</v>
      </c>
      <c r="B118" t="s">
        <v>675</v>
      </c>
      <c r="C118" t="s">
        <v>318</v>
      </c>
    </row>
    <row r="119" spans="1:3" x14ac:dyDescent="0.15">
      <c r="A119" t="s">
        <v>5</v>
      </c>
      <c r="B119" t="s">
        <v>676</v>
      </c>
      <c r="C119" t="s">
        <v>319</v>
      </c>
    </row>
    <row r="120" spans="1:3" x14ac:dyDescent="0.15">
      <c r="A120" t="s">
        <v>5</v>
      </c>
      <c r="B120" t="s">
        <v>677</v>
      </c>
      <c r="C120" t="s">
        <v>326</v>
      </c>
    </row>
    <row r="121" spans="1:3" x14ac:dyDescent="0.15">
      <c r="A121" t="s">
        <v>5</v>
      </c>
      <c r="B121" t="s">
        <v>678</v>
      </c>
      <c r="C121" t="s">
        <v>320</v>
      </c>
    </row>
    <row r="122" spans="1:3" x14ac:dyDescent="0.15">
      <c r="A122" t="s">
        <v>5</v>
      </c>
      <c r="B122" t="s">
        <v>679</v>
      </c>
      <c r="C122" t="s">
        <v>317</v>
      </c>
    </row>
    <row r="123" spans="1:3" x14ac:dyDescent="0.15">
      <c r="A123" t="s">
        <v>5</v>
      </c>
      <c r="B123" t="s">
        <v>680</v>
      </c>
      <c r="C123" t="s">
        <v>1084</v>
      </c>
    </row>
    <row r="124" spans="1:3" x14ac:dyDescent="0.15">
      <c r="A124" t="s">
        <v>5</v>
      </c>
      <c r="B124" t="s">
        <v>681</v>
      </c>
      <c r="C124" t="s">
        <v>321</v>
      </c>
    </row>
    <row r="125" spans="1:3" x14ac:dyDescent="0.15">
      <c r="A125" t="s">
        <v>5</v>
      </c>
      <c r="B125" t="s">
        <v>682</v>
      </c>
      <c r="C125" t="s">
        <v>950</v>
      </c>
    </row>
    <row r="126" spans="1:3" x14ac:dyDescent="0.15">
      <c r="A126" t="s">
        <v>5</v>
      </c>
      <c r="B126" t="s">
        <v>683</v>
      </c>
      <c r="C126" t="s">
        <v>633</v>
      </c>
    </row>
    <row r="127" spans="1:3" x14ac:dyDescent="0.15">
      <c r="A127" t="s">
        <v>5</v>
      </c>
      <c r="B127" t="s">
        <v>684</v>
      </c>
      <c r="C127" t="s">
        <v>1082</v>
      </c>
    </row>
    <row r="128" spans="1:3" x14ac:dyDescent="0.15">
      <c r="A128" t="s">
        <v>5</v>
      </c>
      <c r="B128" t="s">
        <v>685</v>
      </c>
      <c r="C128" t="s">
        <v>404</v>
      </c>
    </row>
    <row r="129" spans="1:3" x14ac:dyDescent="0.15">
      <c r="A129" t="s">
        <v>5</v>
      </c>
      <c r="B129" t="s">
        <v>686</v>
      </c>
      <c r="C129" t="s">
        <v>637</v>
      </c>
    </row>
    <row r="130" spans="1:3" x14ac:dyDescent="0.15">
      <c r="A130" t="s">
        <v>5</v>
      </c>
      <c r="B130" t="s">
        <v>687</v>
      </c>
      <c r="C130" t="s">
        <v>1117</v>
      </c>
    </row>
    <row r="131" spans="1:3" x14ac:dyDescent="0.15">
      <c r="A131" t="s">
        <v>5</v>
      </c>
      <c r="B131" t="s">
        <v>688</v>
      </c>
      <c r="C131" t="s">
        <v>640</v>
      </c>
    </row>
    <row r="132" spans="1:3" x14ac:dyDescent="0.15">
      <c r="A132" t="s">
        <v>5</v>
      </c>
      <c r="B132" t="s">
        <v>689</v>
      </c>
      <c r="C132" t="s">
        <v>941</v>
      </c>
    </row>
    <row r="133" spans="1:3" x14ac:dyDescent="0.15">
      <c r="A133" t="s">
        <v>5</v>
      </c>
      <c r="B133" t="s">
        <v>690</v>
      </c>
      <c r="C133" t="s">
        <v>406</v>
      </c>
    </row>
    <row r="134" spans="1:3" x14ac:dyDescent="0.15">
      <c r="A134" t="s">
        <v>5</v>
      </c>
      <c r="B134" t="s">
        <v>691</v>
      </c>
      <c r="C134" t="s">
        <v>951</v>
      </c>
    </row>
    <row r="135" spans="1:3" x14ac:dyDescent="0.15">
      <c r="A135" t="s">
        <v>5</v>
      </c>
      <c r="B135" t="s">
        <v>692</v>
      </c>
      <c r="C135" t="s">
        <v>1085</v>
      </c>
    </row>
    <row r="136" spans="1:3" x14ac:dyDescent="0.15">
      <c r="A136" t="s">
        <v>5</v>
      </c>
      <c r="B136" t="s">
        <v>693</v>
      </c>
      <c r="C136" t="s">
        <v>646</v>
      </c>
    </row>
    <row r="137" spans="1:3" x14ac:dyDescent="0.15">
      <c r="A137" t="s">
        <v>5</v>
      </c>
      <c r="B137" t="s">
        <v>694</v>
      </c>
      <c r="C137" t="s">
        <v>648</v>
      </c>
    </row>
    <row r="138" spans="1:3" x14ac:dyDescent="0.15">
      <c r="A138" t="s">
        <v>5</v>
      </c>
      <c r="B138" t="s">
        <v>695</v>
      </c>
      <c r="C138" t="s">
        <v>604</v>
      </c>
    </row>
    <row r="139" spans="1:3" x14ac:dyDescent="0.15">
      <c r="A139" t="s">
        <v>5</v>
      </c>
      <c r="B139" t="s">
        <v>696</v>
      </c>
      <c r="C139" t="s">
        <v>322</v>
      </c>
    </row>
    <row r="140" spans="1:3" x14ac:dyDescent="0.15">
      <c r="A140" t="s">
        <v>5</v>
      </c>
      <c r="B140" t="s">
        <v>697</v>
      </c>
      <c r="C140" t="s">
        <v>322</v>
      </c>
    </row>
    <row r="141" spans="1:3" x14ac:dyDescent="0.15">
      <c r="A141" t="s">
        <v>5</v>
      </c>
      <c r="B141" t="s">
        <v>698</v>
      </c>
      <c r="C141" t="s">
        <v>405</v>
      </c>
    </row>
    <row r="142" spans="1:3" x14ac:dyDescent="0.15">
      <c r="A142" t="s">
        <v>5</v>
      </c>
      <c r="B142" t="s">
        <v>699</v>
      </c>
      <c r="C142" t="s">
        <v>322</v>
      </c>
    </row>
    <row r="143" spans="1:3" x14ac:dyDescent="0.15">
      <c r="A143" t="s">
        <v>5</v>
      </c>
      <c r="B143" t="s">
        <v>700</v>
      </c>
      <c r="C143" t="s">
        <v>322</v>
      </c>
    </row>
    <row r="144" spans="1:3" x14ac:dyDescent="0.15">
      <c r="A144" t="s">
        <v>5</v>
      </c>
      <c r="B144" t="s">
        <v>701</v>
      </c>
      <c r="C144" t="s">
        <v>322</v>
      </c>
    </row>
    <row r="145" spans="1:3" x14ac:dyDescent="0.15">
      <c r="A145" t="s">
        <v>5</v>
      </c>
      <c r="B145" t="s">
        <v>702</v>
      </c>
      <c r="C145" t="s">
        <v>322</v>
      </c>
    </row>
    <row r="146" spans="1:3" x14ac:dyDescent="0.15">
      <c r="A146" t="s">
        <v>5</v>
      </c>
      <c r="B146" t="s">
        <v>703</v>
      </c>
      <c r="C146" t="s">
        <v>322</v>
      </c>
    </row>
    <row r="147" spans="1:3" x14ac:dyDescent="0.15">
      <c r="A147" t="s">
        <v>5</v>
      </c>
      <c r="B147" t="s">
        <v>704</v>
      </c>
      <c r="C147" t="s">
        <v>322</v>
      </c>
    </row>
    <row r="148" spans="1:3" x14ac:dyDescent="0.15">
      <c r="A148" t="s">
        <v>5</v>
      </c>
      <c r="B148" t="s">
        <v>705</v>
      </c>
      <c r="C148" t="s">
        <v>322</v>
      </c>
    </row>
    <row r="149" spans="1:3" x14ac:dyDescent="0.15">
      <c r="A149" t="s">
        <v>5</v>
      </c>
      <c r="B149" t="s">
        <v>706</v>
      </c>
      <c r="C149" t="s">
        <v>322</v>
      </c>
    </row>
    <row r="150" spans="1:3" x14ac:dyDescent="0.15">
      <c r="A150" t="s">
        <v>5</v>
      </c>
      <c r="B150" t="s">
        <v>707</v>
      </c>
      <c r="C150" t="s">
        <v>322</v>
      </c>
    </row>
    <row r="151" spans="1:3" x14ac:dyDescent="0.15">
      <c r="A151" t="s">
        <v>5</v>
      </c>
      <c r="B151" t="s">
        <v>708</v>
      </c>
      <c r="C151" t="s">
        <v>322</v>
      </c>
    </row>
    <row r="152" spans="1:3" x14ac:dyDescent="0.15">
      <c r="A152" t="s">
        <v>5</v>
      </c>
      <c r="B152" t="s">
        <v>709</v>
      </c>
      <c r="C152" t="s">
        <v>322</v>
      </c>
    </row>
    <row r="153" spans="1:3" x14ac:dyDescent="0.15">
      <c r="A153" t="s">
        <v>5</v>
      </c>
      <c r="B153" t="s">
        <v>710</v>
      </c>
      <c r="C153" t="s">
        <v>322</v>
      </c>
    </row>
    <row r="154" spans="1:3" x14ac:dyDescent="0.15">
      <c r="A154" t="s">
        <v>5</v>
      </c>
      <c r="B154" t="s">
        <v>711</v>
      </c>
      <c r="C154" t="s">
        <v>322</v>
      </c>
    </row>
    <row r="155" spans="1:3" x14ac:dyDescent="0.15">
      <c r="A155" t="s">
        <v>5</v>
      </c>
      <c r="B155" t="s">
        <v>712</v>
      </c>
      <c r="C155" t="s">
        <v>322</v>
      </c>
    </row>
    <row r="156" spans="1:3" x14ac:dyDescent="0.15">
      <c r="A156" t="s">
        <v>5</v>
      </c>
      <c r="B156" t="s">
        <v>713</v>
      </c>
      <c r="C156" t="s">
        <v>322</v>
      </c>
    </row>
    <row r="157" spans="1:3" x14ac:dyDescent="0.15">
      <c r="A157" t="s">
        <v>5</v>
      </c>
      <c r="B157" t="s">
        <v>714</v>
      </c>
      <c r="C157" t="s">
        <v>322</v>
      </c>
    </row>
    <row r="158" spans="1:3" x14ac:dyDescent="0.15">
      <c r="A158" t="s">
        <v>5</v>
      </c>
      <c r="B158" t="s">
        <v>715</v>
      </c>
      <c r="C158" t="s">
        <v>322</v>
      </c>
    </row>
    <row r="159" spans="1:3" x14ac:dyDescent="0.15">
      <c r="A159" t="s">
        <v>5</v>
      </c>
      <c r="B159" t="s">
        <v>408</v>
      </c>
      <c r="C159" t="s">
        <v>322</v>
      </c>
    </row>
    <row r="160" spans="1:3" x14ac:dyDescent="0.15">
      <c r="A160" t="s">
        <v>6</v>
      </c>
      <c r="B160" t="s">
        <v>961</v>
      </c>
      <c r="C160" t="s">
        <v>1122</v>
      </c>
    </row>
    <row r="161" spans="1:3" x14ac:dyDescent="0.15">
      <c r="A161" t="s">
        <v>6</v>
      </c>
      <c r="B161" t="s">
        <v>963</v>
      </c>
      <c r="C161" t="s">
        <v>605</v>
      </c>
    </row>
    <row r="162" spans="1:3" x14ac:dyDescent="0.15">
      <c r="A162" t="s">
        <v>6</v>
      </c>
      <c r="B162" t="s">
        <v>973</v>
      </c>
      <c r="C162" t="s">
        <v>307</v>
      </c>
    </row>
    <row r="163" spans="1:3" x14ac:dyDescent="0.15">
      <c r="A163" t="s">
        <v>6</v>
      </c>
      <c r="B163" t="s">
        <v>974</v>
      </c>
      <c r="C163" t="s">
        <v>308</v>
      </c>
    </row>
    <row r="164" spans="1:3" x14ac:dyDescent="0.15">
      <c r="A164" t="s">
        <v>6</v>
      </c>
      <c r="B164" t="s">
        <v>975</v>
      </c>
      <c r="C164" t="s">
        <v>309</v>
      </c>
    </row>
    <row r="165" spans="1:3" x14ac:dyDescent="0.15">
      <c r="A165" t="s">
        <v>6</v>
      </c>
      <c r="B165" t="s">
        <v>976</v>
      </c>
      <c r="C165" t="s">
        <v>953</v>
      </c>
    </row>
    <row r="166" spans="1:3" x14ac:dyDescent="0.15">
      <c r="A166" t="s">
        <v>6</v>
      </c>
      <c r="B166" t="s">
        <v>977</v>
      </c>
      <c r="C166" t="s">
        <v>310</v>
      </c>
    </row>
    <row r="167" spans="1:3" x14ac:dyDescent="0.15">
      <c r="A167" t="s">
        <v>6</v>
      </c>
      <c r="B167" t="s">
        <v>978</v>
      </c>
      <c r="C167" t="s">
        <v>401</v>
      </c>
    </row>
    <row r="168" spans="1:3" x14ac:dyDescent="0.15">
      <c r="A168" t="s">
        <v>6</v>
      </c>
      <c r="B168" t="s">
        <v>979</v>
      </c>
      <c r="C168" t="s">
        <v>606</v>
      </c>
    </row>
    <row r="169" spans="1:3" x14ac:dyDescent="0.15">
      <c r="A169" t="s">
        <v>6</v>
      </c>
      <c r="B169" t="s">
        <v>980</v>
      </c>
      <c r="C169" t="s">
        <v>312</v>
      </c>
    </row>
    <row r="170" spans="1:3" x14ac:dyDescent="0.15">
      <c r="A170" t="s">
        <v>6</v>
      </c>
      <c r="B170" t="s">
        <v>981</v>
      </c>
      <c r="C170" t="s">
        <v>960</v>
      </c>
    </row>
    <row r="171" spans="1:3" x14ac:dyDescent="0.15">
      <c r="A171" t="s">
        <v>6</v>
      </c>
      <c r="B171" t="s">
        <v>982</v>
      </c>
      <c r="C171" t="s">
        <v>607</v>
      </c>
    </row>
    <row r="172" spans="1:3" x14ac:dyDescent="0.15">
      <c r="A172" t="s">
        <v>6</v>
      </c>
      <c r="B172" t="s">
        <v>983</v>
      </c>
      <c r="C172" t="s">
        <v>608</v>
      </c>
    </row>
    <row r="173" spans="1:3" x14ac:dyDescent="0.15">
      <c r="A173" t="s">
        <v>6</v>
      </c>
      <c r="B173" t="s">
        <v>984</v>
      </c>
      <c r="C173" t="s">
        <v>609</v>
      </c>
    </row>
    <row r="174" spans="1:3" x14ac:dyDescent="0.15">
      <c r="A174" t="s">
        <v>6</v>
      </c>
      <c r="B174" t="s">
        <v>985</v>
      </c>
      <c r="C174" t="s">
        <v>955</v>
      </c>
    </row>
    <row r="175" spans="1:3" x14ac:dyDescent="0.15">
      <c r="A175" t="s">
        <v>6</v>
      </c>
      <c r="B175" t="s">
        <v>986</v>
      </c>
      <c r="C175" t="s">
        <v>403</v>
      </c>
    </row>
    <row r="176" spans="1:3" x14ac:dyDescent="0.15">
      <c r="A176" t="s">
        <v>6</v>
      </c>
      <c r="B176" t="s">
        <v>987</v>
      </c>
      <c r="C176" t="s">
        <v>954</v>
      </c>
    </row>
    <row r="177" spans="1:3" x14ac:dyDescent="0.15">
      <c r="A177" t="s">
        <v>6</v>
      </c>
      <c r="B177" t="s">
        <v>988</v>
      </c>
      <c r="C177" t="s">
        <v>610</v>
      </c>
    </row>
    <row r="178" spans="1:3" x14ac:dyDescent="0.15">
      <c r="A178" t="s">
        <v>6</v>
      </c>
      <c r="B178" t="s">
        <v>989</v>
      </c>
      <c r="C178" t="s">
        <v>611</v>
      </c>
    </row>
    <row r="179" spans="1:3" x14ac:dyDescent="0.15">
      <c r="A179" t="s">
        <v>6</v>
      </c>
      <c r="B179" t="s">
        <v>990</v>
      </c>
      <c r="C179" t="s">
        <v>612</v>
      </c>
    </row>
    <row r="180" spans="1:3" x14ac:dyDescent="0.15">
      <c r="A180" t="s">
        <v>6</v>
      </c>
      <c r="B180" t="s">
        <v>991</v>
      </c>
      <c r="C180" t="s">
        <v>940</v>
      </c>
    </row>
    <row r="181" spans="1:3" x14ac:dyDescent="0.15">
      <c r="A181" t="s">
        <v>6</v>
      </c>
      <c r="B181" t="s">
        <v>992</v>
      </c>
      <c r="C181" t="s">
        <v>613</v>
      </c>
    </row>
    <row r="182" spans="1:3" x14ac:dyDescent="0.15">
      <c r="A182" t="s">
        <v>6</v>
      </c>
      <c r="B182" t="s">
        <v>993</v>
      </c>
      <c r="C182" t="s">
        <v>328</v>
      </c>
    </row>
    <row r="183" spans="1:3" x14ac:dyDescent="0.15">
      <c r="A183" t="s">
        <v>6</v>
      </c>
      <c r="B183" t="s">
        <v>994</v>
      </c>
      <c r="C183" t="s">
        <v>409</v>
      </c>
    </row>
    <row r="184" spans="1:3" x14ac:dyDescent="0.15">
      <c r="A184" t="s">
        <v>6</v>
      </c>
      <c r="B184" t="s">
        <v>995</v>
      </c>
      <c r="C184" t="s">
        <v>614</v>
      </c>
    </row>
    <row r="185" spans="1:3" x14ac:dyDescent="0.15">
      <c r="A185" t="s">
        <v>6</v>
      </c>
      <c r="B185" t="s">
        <v>996</v>
      </c>
      <c r="C185" t="s">
        <v>311</v>
      </c>
    </row>
    <row r="186" spans="1:3" x14ac:dyDescent="0.15">
      <c r="A186" t="s">
        <v>6</v>
      </c>
      <c r="B186" t="s">
        <v>997</v>
      </c>
      <c r="C186" t="s">
        <v>1081</v>
      </c>
    </row>
    <row r="187" spans="1:3" x14ac:dyDescent="0.15">
      <c r="A187" t="s">
        <v>6</v>
      </c>
      <c r="B187" t="s">
        <v>998</v>
      </c>
      <c r="C187" t="s">
        <v>1043</v>
      </c>
    </row>
    <row r="188" spans="1:3" x14ac:dyDescent="0.15">
      <c r="A188" t="s">
        <v>6</v>
      </c>
      <c r="B188" t="s">
        <v>999</v>
      </c>
      <c r="C188" t="s">
        <v>1116</v>
      </c>
    </row>
    <row r="189" spans="1:3" x14ac:dyDescent="0.15">
      <c r="A189" t="s">
        <v>6</v>
      </c>
      <c r="B189" t="s">
        <v>1000</v>
      </c>
      <c r="C189" t="s">
        <v>327</v>
      </c>
    </row>
    <row r="190" spans="1:3" x14ac:dyDescent="0.15">
      <c r="A190" t="s">
        <v>6</v>
      </c>
      <c r="B190" t="s">
        <v>1001</v>
      </c>
      <c r="C190" t="s">
        <v>1044</v>
      </c>
    </row>
    <row r="191" spans="1:3" x14ac:dyDescent="0.15">
      <c r="A191" t="s">
        <v>6</v>
      </c>
      <c r="B191" t="s">
        <v>1002</v>
      </c>
      <c r="C191" t="s">
        <v>618</v>
      </c>
    </row>
    <row r="192" spans="1:3" x14ac:dyDescent="0.15">
      <c r="A192" t="s">
        <v>6</v>
      </c>
      <c r="B192" t="s">
        <v>1003</v>
      </c>
      <c r="C192" t="s">
        <v>314</v>
      </c>
    </row>
    <row r="193" spans="1:3" x14ac:dyDescent="0.15">
      <c r="A193" t="s">
        <v>6</v>
      </c>
      <c r="B193" t="s">
        <v>1004</v>
      </c>
      <c r="C193" t="s">
        <v>315</v>
      </c>
    </row>
    <row r="194" spans="1:3" x14ac:dyDescent="0.15">
      <c r="A194" t="s">
        <v>6</v>
      </c>
      <c r="B194" t="s">
        <v>1005</v>
      </c>
      <c r="C194" t="s">
        <v>316</v>
      </c>
    </row>
    <row r="195" spans="1:3" x14ac:dyDescent="0.15">
      <c r="A195" t="s">
        <v>6</v>
      </c>
      <c r="B195" t="s">
        <v>1006</v>
      </c>
      <c r="C195" t="s">
        <v>623</v>
      </c>
    </row>
    <row r="196" spans="1:3" x14ac:dyDescent="0.15">
      <c r="A196" t="s">
        <v>6</v>
      </c>
      <c r="B196" t="s">
        <v>1007</v>
      </c>
      <c r="C196" t="s">
        <v>318</v>
      </c>
    </row>
    <row r="197" spans="1:3" x14ac:dyDescent="0.15">
      <c r="A197" t="s">
        <v>6</v>
      </c>
      <c r="B197" t="s">
        <v>1008</v>
      </c>
      <c r="C197" t="s">
        <v>319</v>
      </c>
    </row>
    <row r="198" spans="1:3" x14ac:dyDescent="0.15">
      <c r="A198" t="s">
        <v>6</v>
      </c>
      <c r="B198" t="s">
        <v>1009</v>
      </c>
      <c r="C198" t="s">
        <v>326</v>
      </c>
    </row>
    <row r="199" spans="1:3" x14ac:dyDescent="0.15">
      <c r="A199" t="s">
        <v>6</v>
      </c>
      <c r="B199" t="s">
        <v>1010</v>
      </c>
      <c r="C199" t="s">
        <v>320</v>
      </c>
    </row>
    <row r="200" spans="1:3" x14ac:dyDescent="0.15">
      <c r="A200" t="s">
        <v>6</v>
      </c>
      <c r="B200" t="s">
        <v>1011</v>
      </c>
      <c r="C200" t="s">
        <v>317</v>
      </c>
    </row>
    <row r="201" spans="1:3" x14ac:dyDescent="0.15">
      <c r="A201" t="s">
        <v>6</v>
      </c>
      <c r="B201" t="s">
        <v>1012</v>
      </c>
      <c r="C201" t="s">
        <v>1084</v>
      </c>
    </row>
    <row r="202" spans="1:3" x14ac:dyDescent="0.15">
      <c r="A202" t="s">
        <v>6</v>
      </c>
      <c r="B202" t="s">
        <v>1013</v>
      </c>
      <c r="C202" t="s">
        <v>321</v>
      </c>
    </row>
    <row r="203" spans="1:3" x14ac:dyDescent="0.15">
      <c r="A203" t="s">
        <v>6</v>
      </c>
      <c r="B203" t="s">
        <v>1014</v>
      </c>
      <c r="C203" t="s">
        <v>950</v>
      </c>
    </row>
    <row r="204" spans="1:3" x14ac:dyDescent="0.15">
      <c r="A204" t="s">
        <v>6</v>
      </c>
      <c r="B204" t="s">
        <v>1015</v>
      </c>
      <c r="C204" t="s">
        <v>633</v>
      </c>
    </row>
    <row r="205" spans="1:3" x14ac:dyDescent="0.15">
      <c r="A205" t="s">
        <v>6</v>
      </c>
      <c r="B205" t="s">
        <v>1016</v>
      </c>
      <c r="C205" t="s">
        <v>1082</v>
      </c>
    </row>
    <row r="206" spans="1:3" x14ac:dyDescent="0.15">
      <c r="A206" t="s">
        <v>6</v>
      </c>
      <c r="B206" t="s">
        <v>1017</v>
      </c>
      <c r="C206" t="s">
        <v>404</v>
      </c>
    </row>
    <row r="207" spans="1:3" x14ac:dyDescent="0.15">
      <c r="A207" t="s">
        <v>6</v>
      </c>
      <c r="B207" t="s">
        <v>1018</v>
      </c>
      <c r="C207" t="s">
        <v>637</v>
      </c>
    </row>
    <row r="208" spans="1:3" x14ac:dyDescent="0.15">
      <c r="A208" t="s">
        <v>6</v>
      </c>
      <c r="B208" t="s">
        <v>1019</v>
      </c>
      <c r="C208" t="s">
        <v>1117</v>
      </c>
    </row>
    <row r="209" spans="1:3" x14ac:dyDescent="0.15">
      <c r="A209" t="s">
        <v>6</v>
      </c>
      <c r="B209" t="s">
        <v>1020</v>
      </c>
      <c r="C209" t="s">
        <v>640</v>
      </c>
    </row>
    <row r="210" spans="1:3" x14ac:dyDescent="0.15">
      <c r="A210" t="s">
        <v>6</v>
      </c>
      <c r="B210" t="s">
        <v>1021</v>
      </c>
      <c r="C210" t="s">
        <v>941</v>
      </c>
    </row>
    <row r="211" spans="1:3" x14ac:dyDescent="0.15">
      <c r="A211" t="s">
        <v>6</v>
      </c>
      <c r="B211" t="s">
        <v>1022</v>
      </c>
      <c r="C211" t="s">
        <v>406</v>
      </c>
    </row>
    <row r="212" spans="1:3" x14ac:dyDescent="0.15">
      <c r="A212" t="s">
        <v>6</v>
      </c>
      <c r="B212" t="s">
        <v>1023</v>
      </c>
      <c r="C212" t="s">
        <v>951</v>
      </c>
    </row>
    <row r="213" spans="1:3" x14ac:dyDescent="0.15">
      <c r="A213" t="s">
        <v>6</v>
      </c>
      <c r="B213" t="s">
        <v>1024</v>
      </c>
      <c r="C213" t="s">
        <v>1085</v>
      </c>
    </row>
    <row r="214" spans="1:3" x14ac:dyDescent="0.15">
      <c r="A214" t="s">
        <v>6</v>
      </c>
      <c r="B214" t="s">
        <v>1025</v>
      </c>
      <c r="C214" t="s">
        <v>646</v>
      </c>
    </row>
    <row r="215" spans="1:3" x14ac:dyDescent="0.15">
      <c r="A215" t="s">
        <v>6</v>
      </c>
      <c r="B215" t="s">
        <v>1026</v>
      </c>
      <c r="C215" t="s">
        <v>648</v>
      </c>
    </row>
    <row r="216" spans="1:3" x14ac:dyDescent="0.15">
      <c r="A216" t="s">
        <v>6</v>
      </c>
      <c r="B216" t="s">
        <v>1027</v>
      </c>
      <c r="C216" t="s">
        <v>1123</v>
      </c>
    </row>
    <row r="217" spans="1:3" x14ac:dyDescent="0.15">
      <c r="A217" t="s">
        <v>6</v>
      </c>
      <c r="B217" t="s">
        <v>1028</v>
      </c>
      <c r="C217" t="s">
        <v>322</v>
      </c>
    </row>
    <row r="218" spans="1:3" x14ac:dyDescent="0.15">
      <c r="A218" t="s">
        <v>6</v>
      </c>
      <c r="B218" t="s">
        <v>1029</v>
      </c>
      <c r="C218" t="s">
        <v>322</v>
      </c>
    </row>
    <row r="219" spans="1:3" x14ac:dyDescent="0.15">
      <c r="A219" t="s">
        <v>6</v>
      </c>
      <c r="B219" t="s">
        <v>1030</v>
      </c>
      <c r="C219" t="s">
        <v>322</v>
      </c>
    </row>
    <row r="220" spans="1:3" x14ac:dyDescent="0.15">
      <c r="A220" t="s">
        <v>6</v>
      </c>
      <c r="B220" t="s">
        <v>1031</v>
      </c>
      <c r="C220" t="s">
        <v>322</v>
      </c>
    </row>
    <row r="221" spans="1:3" x14ac:dyDescent="0.15">
      <c r="A221" t="s">
        <v>6</v>
      </c>
      <c r="B221" t="s">
        <v>1032</v>
      </c>
      <c r="C221" t="s">
        <v>322</v>
      </c>
    </row>
    <row r="222" spans="1:3" x14ac:dyDescent="0.15">
      <c r="A222" t="s">
        <v>6</v>
      </c>
      <c r="B222" t="s">
        <v>1033</v>
      </c>
      <c r="C222" t="s">
        <v>322</v>
      </c>
    </row>
    <row r="223" spans="1:3" x14ac:dyDescent="0.15">
      <c r="A223" t="s">
        <v>6</v>
      </c>
      <c r="B223" t="s">
        <v>1034</v>
      </c>
      <c r="C223" t="s">
        <v>322</v>
      </c>
    </row>
    <row r="224" spans="1:3" x14ac:dyDescent="0.15">
      <c r="A224" t="s">
        <v>6</v>
      </c>
      <c r="B224" t="s">
        <v>1035</v>
      </c>
      <c r="C224" t="s">
        <v>322</v>
      </c>
    </row>
    <row r="225" spans="1:3" x14ac:dyDescent="0.15">
      <c r="A225" t="s">
        <v>6</v>
      </c>
      <c r="B225" t="s">
        <v>1036</v>
      </c>
      <c r="C225" t="s">
        <v>322</v>
      </c>
    </row>
    <row r="226" spans="1:3" x14ac:dyDescent="0.15">
      <c r="A226" t="s">
        <v>6</v>
      </c>
      <c r="B226" t="s">
        <v>1037</v>
      </c>
      <c r="C226" t="s">
        <v>322</v>
      </c>
    </row>
    <row r="227" spans="1:3" x14ac:dyDescent="0.15">
      <c r="A227" t="s">
        <v>6</v>
      </c>
      <c r="B227" t="s">
        <v>1038</v>
      </c>
      <c r="C227" t="s">
        <v>322</v>
      </c>
    </row>
    <row r="228" spans="1:3" x14ac:dyDescent="0.15">
      <c r="A228" t="s">
        <v>6</v>
      </c>
      <c r="B228" t="s">
        <v>1039</v>
      </c>
      <c r="C228" t="s">
        <v>322</v>
      </c>
    </row>
    <row r="229" spans="1:3" x14ac:dyDescent="0.15">
      <c r="A229" t="s">
        <v>6</v>
      </c>
      <c r="B229" t="s">
        <v>1040</v>
      </c>
      <c r="C229" t="s">
        <v>322</v>
      </c>
    </row>
    <row r="230" spans="1:3" x14ac:dyDescent="0.15">
      <c r="A230" t="s">
        <v>7</v>
      </c>
      <c r="B230" t="s">
        <v>38</v>
      </c>
      <c r="C230" t="s">
        <v>322</v>
      </c>
    </row>
    <row r="231" spans="1:3" x14ac:dyDescent="0.15">
      <c r="A231" t="s">
        <v>7</v>
      </c>
      <c r="B231" t="s">
        <v>107</v>
      </c>
      <c r="C231" t="s">
        <v>322</v>
      </c>
    </row>
    <row r="232" spans="1:3" x14ac:dyDescent="0.15">
      <c r="A232" t="s">
        <v>7</v>
      </c>
      <c r="B232" t="s">
        <v>108</v>
      </c>
      <c r="C232" t="s">
        <v>322</v>
      </c>
    </row>
    <row r="233" spans="1:3" x14ac:dyDescent="0.15">
      <c r="A233" t="s">
        <v>7</v>
      </c>
      <c r="B233" t="s">
        <v>109</v>
      </c>
      <c r="C233" t="s">
        <v>322</v>
      </c>
    </row>
    <row r="234" spans="1:3" x14ac:dyDescent="0.15">
      <c r="A234" t="s">
        <v>7</v>
      </c>
      <c r="B234" t="s">
        <v>110</v>
      </c>
      <c r="C234" t="s">
        <v>322</v>
      </c>
    </row>
    <row r="235" spans="1:3" x14ac:dyDescent="0.15">
      <c r="A235" t="s">
        <v>7</v>
      </c>
      <c r="B235" t="s">
        <v>111</v>
      </c>
      <c r="C235" t="s">
        <v>322</v>
      </c>
    </row>
    <row r="236" spans="1:3" x14ac:dyDescent="0.15">
      <c r="A236" t="s">
        <v>7</v>
      </c>
      <c r="B236" t="s">
        <v>112</v>
      </c>
      <c r="C236" t="s">
        <v>322</v>
      </c>
    </row>
    <row r="237" spans="1:3" x14ac:dyDescent="0.15">
      <c r="A237" t="s">
        <v>7</v>
      </c>
      <c r="B237" t="s">
        <v>113</v>
      </c>
      <c r="C237" t="s">
        <v>322</v>
      </c>
    </row>
    <row r="238" spans="1:3" x14ac:dyDescent="0.15">
      <c r="A238" t="s">
        <v>7</v>
      </c>
      <c r="B238" t="s">
        <v>114</v>
      </c>
      <c r="C238" t="s">
        <v>322</v>
      </c>
    </row>
    <row r="239" spans="1:3" x14ac:dyDescent="0.15">
      <c r="A239" t="s">
        <v>7</v>
      </c>
      <c r="B239" t="s">
        <v>115</v>
      </c>
      <c r="C239" t="s">
        <v>322</v>
      </c>
    </row>
    <row r="240" spans="1:3" x14ac:dyDescent="0.15">
      <c r="A240" t="s">
        <v>7</v>
      </c>
      <c r="B240" t="s">
        <v>116</v>
      </c>
      <c r="C240" t="s">
        <v>322</v>
      </c>
    </row>
    <row r="241" spans="1:3" x14ac:dyDescent="0.15">
      <c r="A241" t="s">
        <v>7</v>
      </c>
      <c r="B241" t="s">
        <v>117</v>
      </c>
      <c r="C241" t="s">
        <v>322</v>
      </c>
    </row>
    <row r="242" spans="1:3" x14ac:dyDescent="0.15">
      <c r="A242" t="s">
        <v>7</v>
      </c>
      <c r="B242" t="s">
        <v>118</v>
      </c>
      <c r="C242" t="s">
        <v>322</v>
      </c>
    </row>
    <row r="243" spans="1:3" x14ac:dyDescent="0.15">
      <c r="A243" t="s">
        <v>7</v>
      </c>
      <c r="B243" t="s">
        <v>119</v>
      </c>
      <c r="C243" t="s">
        <v>322</v>
      </c>
    </row>
    <row r="244" spans="1:3" x14ac:dyDescent="0.15">
      <c r="A244" t="s">
        <v>7</v>
      </c>
      <c r="B244" t="s">
        <v>120</v>
      </c>
      <c r="C244" t="s">
        <v>322</v>
      </c>
    </row>
    <row r="245" spans="1:3" x14ac:dyDescent="0.15">
      <c r="A245" t="s">
        <v>7</v>
      </c>
      <c r="B245" t="s">
        <v>121</v>
      </c>
      <c r="C245" t="s">
        <v>322</v>
      </c>
    </row>
    <row r="246" spans="1:3" x14ac:dyDescent="0.15">
      <c r="A246" t="s">
        <v>7</v>
      </c>
      <c r="B246" t="s">
        <v>122</v>
      </c>
      <c r="C246" t="s">
        <v>322</v>
      </c>
    </row>
    <row r="247" spans="1:3" x14ac:dyDescent="0.15">
      <c r="A247" t="s">
        <v>7</v>
      </c>
      <c r="B247" t="s">
        <v>123</v>
      </c>
      <c r="C247" t="s">
        <v>322</v>
      </c>
    </row>
    <row r="248" spans="1:3" x14ac:dyDescent="0.15">
      <c r="A248" t="s">
        <v>7</v>
      </c>
      <c r="B248" t="s">
        <v>124</v>
      </c>
      <c r="C248" t="s">
        <v>322</v>
      </c>
    </row>
    <row r="249" spans="1:3" x14ac:dyDescent="0.15">
      <c r="A249" t="s">
        <v>7</v>
      </c>
      <c r="B249" t="s">
        <v>125</v>
      </c>
      <c r="C249" t="s">
        <v>322</v>
      </c>
    </row>
    <row r="250" spans="1:3" x14ac:dyDescent="0.15">
      <c r="A250" t="s">
        <v>7</v>
      </c>
      <c r="B250" t="s">
        <v>126</v>
      </c>
      <c r="C250" t="s">
        <v>322</v>
      </c>
    </row>
    <row r="251" spans="1:3" x14ac:dyDescent="0.15">
      <c r="A251" t="s">
        <v>7</v>
      </c>
      <c r="B251" t="s">
        <v>127</v>
      </c>
      <c r="C251" t="s">
        <v>322</v>
      </c>
    </row>
    <row r="252" spans="1:3" x14ac:dyDescent="0.15">
      <c r="A252" t="s">
        <v>7</v>
      </c>
      <c r="B252" t="s">
        <v>128</v>
      </c>
      <c r="C252" t="s">
        <v>322</v>
      </c>
    </row>
    <row r="253" spans="1:3" x14ac:dyDescent="0.15">
      <c r="A253" t="s">
        <v>7</v>
      </c>
      <c r="B253" t="s">
        <v>129</v>
      </c>
      <c r="C253" t="s">
        <v>322</v>
      </c>
    </row>
    <row r="254" spans="1:3" x14ac:dyDescent="0.15">
      <c r="A254" t="s">
        <v>7</v>
      </c>
      <c r="B254" t="s">
        <v>130</v>
      </c>
      <c r="C254" t="s">
        <v>322</v>
      </c>
    </row>
    <row r="255" spans="1:3" x14ac:dyDescent="0.15">
      <c r="A255" t="s">
        <v>7</v>
      </c>
      <c r="B255" t="s">
        <v>131</v>
      </c>
      <c r="C255" t="s">
        <v>322</v>
      </c>
    </row>
    <row r="256" spans="1:3" x14ac:dyDescent="0.15">
      <c r="A256" t="s">
        <v>8</v>
      </c>
      <c r="B256" t="s">
        <v>914</v>
      </c>
      <c r="C256" t="s">
        <v>962</v>
      </c>
    </row>
    <row r="257" spans="1:3" x14ac:dyDescent="0.15">
      <c r="A257" t="s">
        <v>8</v>
      </c>
      <c r="B257" t="s">
        <v>915</v>
      </c>
      <c r="C257" t="s">
        <v>964</v>
      </c>
    </row>
    <row r="258" spans="1:3" x14ac:dyDescent="0.15">
      <c r="A258" t="s">
        <v>8</v>
      </c>
      <c r="B258" t="s">
        <v>916</v>
      </c>
      <c r="C258" t="s">
        <v>322</v>
      </c>
    </row>
    <row r="259" spans="1:3" x14ac:dyDescent="0.15">
      <c r="A259" t="s">
        <v>8</v>
      </c>
      <c r="B259" t="s">
        <v>917</v>
      </c>
      <c r="C259" t="s">
        <v>322</v>
      </c>
    </row>
    <row r="260" spans="1:3" x14ac:dyDescent="0.15">
      <c r="A260" t="s">
        <v>8</v>
      </c>
      <c r="B260" t="s">
        <v>918</v>
      </c>
      <c r="C260" t="s">
        <v>322</v>
      </c>
    </row>
    <row r="261" spans="1:3" x14ac:dyDescent="0.15">
      <c r="A261" t="s">
        <v>8</v>
      </c>
      <c r="B261" t="s">
        <v>919</v>
      </c>
      <c r="C261" t="s">
        <v>322</v>
      </c>
    </row>
    <row r="262" spans="1:3" x14ac:dyDescent="0.15">
      <c r="A262" t="s">
        <v>8</v>
      </c>
      <c r="B262" t="s">
        <v>920</v>
      </c>
      <c r="C262" t="s">
        <v>322</v>
      </c>
    </row>
    <row r="263" spans="1:3" x14ac:dyDescent="0.15">
      <c r="A263" t="s">
        <v>8</v>
      </c>
      <c r="B263" t="s">
        <v>921</v>
      </c>
      <c r="C263" t="s">
        <v>322</v>
      </c>
    </row>
    <row r="264" spans="1:3" x14ac:dyDescent="0.15">
      <c r="A264" t="s">
        <v>8</v>
      </c>
      <c r="B264" t="s">
        <v>922</v>
      </c>
      <c r="C264" t="s">
        <v>322</v>
      </c>
    </row>
    <row r="265" spans="1:3" x14ac:dyDescent="0.15">
      <c r="A265" t="s">
        <v>8</v>
      </c>
      <c r="B265" t="s">
        <v>923</v>
      </c>
      <c r="C265" t="s">
        <v>322</v>
      </c>
    </row>
    <row r="266" spans="1:3" x14ac:dyDescent="0.15">
      <c r="A266" t="s">
        <v>8</v>
      </c>
      <c r="B266" t="s">
        <v>924</v>
      </c>
      <c r="C266" t="s">
        <v>322</v>
      </c>
    </row>
    <row r="267" spans="1:3" x14ac:dyDescent="0.15">
      <c r="A267" t="s">
        <v>8</v>
      </c>
      <c r="B267" t="s">
        <v>925</v>
      </c>
      <c r="C267" t="s">
        <v>322</v>
      </c>
    </row>
    <row r="268" spans="1:3" x14ac:dyDescent="0.15">
      <c r="A268" t="s">
        <v>8</v>
      </c>
      <c r="B268" t="s">
        <v>926</v>
      </c>
      <c r="C268" t="s">
        <v>322</v>
      </c>
    </row>
    <row r="269" spans="1:3" x14ac:dyDescent="0.15">
      <c r="A269" t="s">
        <v>8</v>
      </c>
      <c r="B269" t="s">
        <v>927</v>
      </c>
      <c r="C269" t="s">
        <v>322</v>
      </c>
    </row>
    <row r="270" spans="1:3" x14ac:dyDescent="0.15">
      <c r="A270" t="s">
        <v>8</v>
      </c>
      <c r="B270" t="s">
        <v>928</v>
      </c>
      <c r="C270" t="s">
        <v>322</v>
      </c>
    </row>
    <row r="271" spans="1:3" x14ac:dyDescent="0.15">
      <c r="A271" t="s">
        <v>8</v>
      </c>
      <c r="B271" t="s">
        <v>929</v>
      </c>
      <c r="C271" t="s">
        <v>322</v>
      </c>
    </row>
    <row r="272" spans="1:3" x14ac:dyDescent="0.15">
      <c r="A272" t="s">
        <v>8</v>
      </c>
      <c r="B272" t="s">
        <v>930</v>
      </c>
      <c r="C272" t="s">
        <v>322</v>
      </c>
    </row>
    <row r="273" spans="1:3" x14ac:dyDescent="0.15">
      <c r="A273" t="s">
        <v>8</v>
      </c>
      <c r="B273" t="s">
        <v>931</v>
      </c>
      <c r="C273" t="s">
        <v>322</v>
      </c>
    </row>
    <row r="274" spans="1:3" x14ac:dyDescent="0.15">
      <c r="A274" t="s">
        <v>8</v>
      </c>
      <c r="B274" t="s">
        <v>932</v>
      </c>
      <c r="C274" t="s">
        <v>322</v>
      </c>
    </row>
    <row r="275" spans="1:3" x14ac:dyDescent="0.15">
      <c r="A275" t="s">
        <v>8</v>
      </c>
      <c r="B275" t="s">
        <v>933</v>
      </c>
      <c r="C275" t="s">
        <v>322</v>
      </c>
    </row>
    <row r="276" spans="1:3" x14ac:dyDescent="0.15">
      <c r="A276" t="s">
        <v>8</v>
      </c>
      <c r="B276" t="s">
        <v>934</v>
      </c>
      <c r="C276" t="s">
        <v>322</v>
      </c>
    </row>
    <row r="277" spans="1:3" x14ac:dyDescent="0.15">
      <c r="A277" t="s">
        <v>8</v>
      </c>
      <c r="B277" t="s">
        <v>935</v>
      </c>
      <c r="C277" t="s">
        <v>322</v>
      </c>
    </row>
    <row r="278" spans="1:3" x14ac:dyDescent="0.15">
      <c r="A278" t="s">
        <v>8</v>
      </c>
      <c r="B278" t="s">
        <v>936</v>
      </c>
      <c r="C278" t="s">
        <v>322</v>
      </c>
    </row>
    <row r="279" spans="1:3" x14ac:dyDescent="0.15">
      <c r="A279" t="s">
        <v>8</v>
      </c>
      <c r="B279" t="s">
        <v>937</v>
      </c>
      <c r="C279" t="s">
        <v>322</v>
      </c>
    </row>
    <row r="280" spans="1:3" x14ac:dyDescent="0.15">
      <c r="A280" t="s">
        <v>8</v>
      </c>
      <c r="B280" t="s">
        <v>938</v>
      </c>
      <c r="C280" t="s">
        <v>322</v>
      </c>
    </row>
    <row r="281" spans="1:3" x14ac:dyDescent="0.15">
      <c r="A281" t="s">
        <v>9</v>
      </c>
      <c r="B281" t="s">
        <v>132</v>
      </c>
      <c r="C281" t="s">
        <v>331</v>
      </c>
    </row>
    <row r="282" spans="1:3" x14ac:dyDescent="0.15">
      <c r="A282" t="s">
        <v>9</v>
      </c>
      <c r="B282" t="s">
        <v>133</v>
      </c>
      <c r="C282" t="s">
        <v>309</v>
      </c>
    </row>
    <row r="283" spans="1:3" x14ac:dyDescent="0.15">
      <c r="A283" t="s">
        <v>9</v>
      </c>
      <c r="B283" t="s">
        <v>134</v>
      </c>
      <c r="C283" t="s">
        <v>716</v>
      </c>
    </row>
    <row r="284" spans="1:3" x14ac:dyDescent="0.15">
      <c r="A284" t="s">
        <v>9</v>
      </c>
      <c r="B284" t="s">
        <v>135</v>
      </c>
      <c r="C284" t="s">
        <v>410</v>
      </c>
    </row>
    <row r="285" spans="1:3" x14ac:dyDescent="0.15">
      <c r="A285" t="s">
        <v>9</v>
      </c>
      <c r="B285" t="s">
        <v>136</v>
      </c>
      <c r="C285" t="s">
        <v>717</v>
      </c>
    </row>
    <row r="286" spans="1:3" x14ac:dyDescent="0.15">
      <c r="A286" t="s">
        <v>9</v>
      </c>
      <c r="B286" t="s">
        <v>137</v>
      </c>
      <c r="C286" t="s">
        <v>311</v>
      </c>
    </row>
    <row r="287" spans="1:3" x14ac:dyDescent="0.15">
      <c r="A287" t="s">
        <v>9</v>
      </c>
      <c r="B287" t="s">
        <v>138</v>
      </c>
      <c r="C287" t="s">
        <v>313</v>
      </c>
    </row>
    <row r="288" spans="1:3" x14ac:dyDescent="0.15">
      <c r="A288" t="s">
        <v>9</v>
      </c>
      <c r="B288" t="s">
        <v>139</v>
      </c>
      <c r="C288" t="s">
        <v>718</v>
      </c>
    </row>
    <row r="289" spans="1:3" x14ac:dyDescent="0.15">
      <c r="A289" t="s">
        <v>9</v>
      </c>
      <c r="B289" t="s">
        <v>140</v>
      </c>
      <c r="C289" t="s">
        <v>332</v>
      </c>
    </row>
    <row r="290" spans="1:3" x14ac:dyDescent="0.15">
      <c r="A290" t="s">
        <v>9</v>
      </c>
      <c r="B290" t="s">
        <v>141</v>
      </c>
      <c r="C290" t="s">
        <v>328</v>
      </c>
    </row>
    <row r="291" spans="1:3" x14ac:dyDescent="0.15">
      <c r="A291" t="s">
        <v>9</v>
      </c>
      <c r="B291" t="s">
        <v>142</v>
      </c>
      <c r="C291" t="s">
        <v>323</v>
      </c>
    </row>
    <row r="292" spans="1:3" x14ac:dyDescent="0.15">
      <c r="A292" t="s">
        <v>9</v>
      </c>
      <c r="B292" t="s">
        <v>143</v>
      </c>
      <c r="C292" t="s">
        <v>333</v>
      </c>
    </row>
    <row r="293" spans="1:3" x14ac:dyDescent="0.15">
      <c r="A293" t="s">
        <v>9</v>
      </c>
      <c r="B293" t="s">
        <v>144</v>
      </c>
      <c r="C293" t="s">
        <v>334</v>
      </c>
    </row>
    <row r="294" spans="1:3" x14ac:dyDescent="0.15">
      <c r="A294" t="s">
        <v>9</v>
      </c>
      <c r="B294" t="s">
        <v>145</v>
      </c>
      <c r="C294" t="s">
        <v>335</v>
      </c>
    </row>
    <row r="295" spans="1:3" x14ac:dyDescent="0.15">
      <c r="A295" t="s">
        <v>9</v>
      </c>
      <c r="B295" t="s">
        <v>146</v>
      </c>
      <c r="C295" t="s">
        <v>325</v>
      </c>
    </row>
    <row r="296" spans="1:3" x14ac:dyDescent="0.15">
      <c r="A296" t="s">
        <v>9</v>
      </c>
      <c r="B296" t="s">
        <v>147</v>
      </c>
      <c r="C296" t="s">
        <v>329</v>
      </c>
    </row>
    <row r="297" spans="1:3" x14ac:dyDescent="0.15">
      <c r="A297" t="s">
        <v>9</v>
      </c>
      <c r="B297" t="s">
        <v>148</v>
      </c>
      <c r="C297" t="s">
        <v>336</v>
      </c>
    </row>
    <row r="298" spans="1:3" x14ac:dyDescent="0.15">
      <c r="A298" t="s">
        <v>9</v>
      </c>
      <c r="B298" t="s">
        <v>149</v>
      </c>
      <c r="C298" t="s">
        <v>719</v>
      </c>
    </row>
    <row r="299" spans="1:3" x14ac:dyDescent="0.15">
      <c r="A299" t="s">
        <v>9</v>
      </c>
      <c r="B299" t="s">
        <v>150</v>
      </c>
      <c r="C299" t="s">
        <v>337</v>
      </c>
    </row>
    <row r="300" spans="1:3" x14ac:dyDescent="0.15">
      <c r="A300" t="s">
        <v>9</v>
      </c>
      <c r="B300" t="s">
        <v>151</v>
      </c>
      <c r="C300" t="s">
        <v>720</v>
      </c>
    </row>
    <row r="301" spans="1:3" x14ac:dyDescent="0.15">
      <c r="A301" t="s">
        <v>9</v>
      </c>
      <c r="B301" t="s">
        <v>152</v>
      </c>
      <c r="C301" t="s">
        <v>338</v>
      </c>
    </row>
    <row r="302" spans="1:3" x14ac:dyDescent="0.15">
      <c r="A302" t="s">
        <v>9</v>
      </c>
      <c r="B302" t="s">
        <v>153</v>
      </c>
      <c r="C302" t="s">
        <v>322</v>
      </c>
    </row>
    <row r="303" spans="1:3" x14ac:dyDescent="0.15">
      <c r="A303" t="s">
        <v>9</v>
      </c>
      <c r="B303" t="s">
        <v>154</v>
      </c>
      <c r="C303" t="s">
        <v>322</v>
      </c>
    </row>
    <row r="304" spans="1:3" x14ac:dyDescent="0.15">
      <c r="A304" t="s">
        <v>9</v>
      </c>
      <c r="B304" t="s">
        <v>155</v>
      </c>
      <c r="C304" t="s">
        <v>322</v>
      </c>
    </row>
    <row r="305" spans="1:3" x14ac:dyDescent="0.15">
      <c r="A305" t="s">
        <v>9</v>
      </c>
      <c r="B305" t="s">
        <v>156</v>
      </c>
      <c r="C305" t="s">
        <v>322</v>
      </c>
    </row>
    <row r="306" spans="1:3" x14ac:dyDescent="0.15">
      <c r="A306" t="s">
        <v>9</v>
      </c>
      <c r="B306" t="s">
        <v>157</v>
      </c>
      <c r="C306" t="s">
        <v>322</v>
      </c>
    </row>
    <row r="307" spans="1:3" x14ac:dyDescent="0.15">
      <c r="A307" t="s">
        <v>9</v>
      </c>
      <c r="B307" t="s">
        <v>721</v>
      </c>
      <c r="C307" t="s">
        <v>322</v>
      </c>
    </row>
    <row r="308" spans="1:3" x14ac:dyDescent="0.15">
      <c r="A308" t="s">
        <v>9</v>
      </c>
      <c r="B308" t="s">
        <v>722</v>
      </c>
      <c r="C308" t="s">
        <v>322</v>
      </c>
    </row>
    <row r="309" spans="1:3" x14ac:dyDescent="0.15">
      <c r="A309" t="s">
        <v>9</v>
      </c>
      <c r="B309" t="s">
        <v>723</v>
      </c>
      <c r="C309" t="s">
        <v>322</v>
      </c>
    </row>
    <row r="310" spans="1:3" x14ac:dyDescent="0.15">
      <c r="A310" t="s">
        <v>9</v>
      </c>
      <c r="B310" t="s">
        <v>724</v>
      </c>
      <c r="C310" t="s">
        <v>322</v>
      </c>
    </row>
    <row r="311" spans="1:3" x14ac:dyDescent="0.15">
      <c r="A311" t="s">
        <v>9</v>
      </c>
      <c r="B311" t="s">
        <v>725</v>
      </c>
      <c r="C311" t="s">
        <v>322</v>
      </c>
    </row>
    <row r="312" spans="1:3" x14ac:dyDescent="0.15">
      <c r="A312" t="s">
        <v>10</v>
      </c>
      <c r="B312" t="s">
        <v>1091</v>
      </c>
      <c r="C312" t="s">
        <v>1122</v>
      </c>
    </row>
    <row r="313" spans="1:3" x14ac:dyDescent="0.15">
      <c r="A313" t="s">
        <v>10</v>
      </c>
      <c r="B313" t="s">
        <v>1092</v>
      </c>
      <c r="C313" t="s">
        <v>401</v>
      </c>
    </row>
    <row r="314" spans="1:3" x14ac:dyDescent="0.15">
      <c r="A314" t="s">
        <v>10</v>
      </c>
      <c r="B314" t="s">
        <v>1093</v>
      </c>
      <c r="C314" t="s">
        <v>606</v>
      </c>
    </row>
    <row r="315" spans="1:3" x14ac:dyDescent="0.15">
      <c r="A315" t="s">
        <v>10</v>
      </c>
      <c r="B315" t="s">
        <v>1094</v>
      </c>
      <c r="C315" t="s">
        <v>607</v>
      </c>
    </row>
    <row r="316" spans="1:3" x14ac:dyDescent="0.15">
      <c r="A316" t="s">
        <v>10</v>
      </c>
      <c r="B316" t="s">
        <v>1095</v>
      </c>
      <c r="C316" t="s">
        <v>609</v>
      </c>
    </row>
    <row r="317" spans="1:3" x14ac:dyDescent="0.15">
      <c r="A317" t="s">
        <v>10</v>
      </c>
      <c r="B317" t="s">
        <v>1096</v>
      </c>
      <c r="C317" t="s">
        <v>403</v>
      </c>
    </row>
    <row r="318" spans="1:3" x14ac:dyDescent="0.15">
      <c r="A318" t="s">
        <v>10</v>
      </c>
      <c r="B318" t="s">
        <v>1097</v>
      </c>
      <c r="C318" t="s">
        <v>954</v>
      </c>
    </row>
    <row r="319" spans="1:3" x14ac:dyDescent="0.15">
      <c r="A319" t="s">
        <v>10</v>
      </c>
      <c r="B319" t="s">
        <v>1098</v>
      </c>
      <c r="C319" t="s">
        <v>610</v>
      </c>
    </row>
    <row r="320" spans="1:3" x14ac:dyDescent="0.15">
      <c r="A320" t="s">
        <v>10</v>
      </c>
      <c r="B320" t="s">
        <v>1099</v>
      </c>
      <c r="C320" t="s">
        <v>940</v>
      </c>
    </row>
    <row r="321" spans="1:3" x14ac:dyDescent="0.15">
      <c r="A321" t="s">
        <v>10</v>
      </c>
      <c r="B321" t="s">
        <v>1100</v>
      </c>
      <c r="C321" t="s">
        <v>328</v>
      </c>
    </row>
    <row r="322" spans="1:3" x14ac:dyDescent="0.15">
      <c r="A322" t="s">
        <v>10</v>
      </c>
      <c r="B322" t="s">
        <v>1101</v>
      </c>
      <c r="C322" t="s">
        <v>311</v>
      </c>
    </row>
    <row r="323" spans="1:3" x14ac:dyDescent="0.15">
      <c r="A323" t="s">
        <v>10</v>
      </c>
      <c r="B323" t="s">
        <v>1102</v>
      </c>
      <c r="C323" t="s">
        <v>327</v>
      </c>
    </row>
    <row r="324" spans="1:3" x14ac:dyDescent="0.15">
      <c r="A324" t="s">
        <v>10</v>
      </c>
      <c r="B324" t="s">
        <v>1103</v>
      </c>
      <c r="C324" t="s">
        <v>1044</v>
      </c>
    </row>
    <row r="325" spans="1:3" x14ac:dyDescent="0.15">
      <c r="A325" t="s">
        <v>10</v>
      </c>
      <c r="B325" t="s">
        <v>1104</v>
      </c>
      <c r="C325" t="s">
        <v>314</v>
      </c>
    </row>
    <row r="326" spans="1:3" x14ac:dyDescent="0.15">
      <c r="A326" t="s">
        <v>10</v>
      </c>
      <c r="B326" t="s">
        <v>1105</v>
      </c>
      <c r="C326" t="s">
        <v>319</v>
      </c>
    </row>
    <row r="327" spans="1:3" x14ac:dyDescent="0.15">
      <c r="A327" t="s">
        <v>10</v>
      </c>
      <c r="B327" t="s">
        <v>1106</v>
      </c>
      <c r="C327" t="s">
        <v>326</v>
      </c>
    </row>
    <row r="328" spans="1:3" x14ac:dyDescent="0.15">
      <c r="A328" t="s">
        <v>10</v>
      </c>
      <c r="B328" t="s">
        <v>1107</v>
      </c>
      <c r="C328" t="s">
        <v>317</v>
      </c>
    </row>
    <row r="329" spans="1:3" x14ac:dyDescent="0.15">
      <c r="A329" t="s">
        <v>10</v>
      </c>
      <c r="B329" t="s">
        <v>1108</v>
      </c>
      <c r="C329" t="s">
        <v>1084</v>
      </c>
    </row>
    <row r="330" spans="1:3" x14ac:dyDescent="0.15">
      <c r="A330" t="s">
        <v>10</v>
      </c>
      <c r="B330" t="s">
        <v>1109</v>
      </c>
      <c r="C330" t="s">
        <v>640</v>
      </c>
    </row>
    <row r="331" spans="1:3" x14ac:dyDescent="0.15">
      <c r="A331" t="s">
        <v>10</v>
      </c>
      <c r="B331" t="s">
        <v>1110</v>
      </c>
      <c r="C331" t="s">
        <v>406</v>
      </c>
    </row>
    <row r="332" spans="1:3" x14ac:dyDescent="0.15">
      <c r="A332" t="s">
        <v>10</v>
      </c>
      <c r="B332" t="s">
        <v>1111</v>
      </c>
      <c r="C332" t="s">
        <v>646</v>
      </c>
    </row>
    <row r="333" spans="1:3" x14ac:dyDescent="0.15">
      <c r="A333" t="s">
        <v>11</v>
      </c>
      <c r="B333" t="s">
        <v>158</v>
      </c>
      <c r="C333" t="s">
        <v>339</v>
      </c>
    </row>
    <row r="334" spans="1:3" x14ac:dyDescent="0.15">
      <c r="A334" t="s">
        <v>11</v>
      </c>
      <c r="B334" t="s">
        <v>159</v>
      </c>
      <c r="C334" t="s">
        <v>340</v>
      </c>
    </row>
    <row r="335" spans="1:3" x14ac:dyDescent="0.15">
      <c r="A335" t="s">
        <v>11</v>
      </c>
      <c r="B335" t="s">
        <v>160</v>
      </c>
      <c r="C335" t="s">
        <v>341</v>
      </c>
    </row>
    <row r="336" spans="1:3" x14ac:dyDescent="0.15">
      <c r="A336" t="s">
        <v>11</v>
      </c>
      <c r="B336" t="s">
        <v>161</v>
      </c>
      <c r="C336" t="s">
        <v>342</v>
      </c>
    </row>
    <row r="337" spans="1:3" x14ac:dyDescent="0.15">
      <c r="A337" t="s">
        <v>11</v>
      </c>
      <c r="B337" t="s">
        <v>162</v>
      </c>
      <c r="C337" t="s">
        <v>343</v>
      </c>
    </row>
    <row r="338" spans="1:3" x14ac:dyDescent="0.15">
      <c r="A338" t="s">
        <v>11</v>
      </c>
      <c r="B338" t="s">
        <v>163</v>
      </c>
      <c r="C338" t="s">
        <v>948</v>
      </c>
    </row>
    <row r="339" spans="1:3" x14ac:dyDescent="0.15">
      <c r="A339" t="s">
        <v>11</v>
      </c>
      <c r="B339" t="s">
        <v>164</v>
      </c>
      <c r="C339" t="s">
        <v>726</v>
      </c>
    </row>
    <row r="340" spans="1:3" x14ac:dyDescent="0.15">
      <c r="A340" t="s">
        <v>11</v>
      </c>
      <c r="B340" t="s">
        <v>165</v>
      </c>
      <c r="C340" t="s">
        <v>324</v>
      </c>
    </row>
    <row r="341" spans="1:3" x14ac:dyDescent="0.15">
      <c r="A341" t="s">
        <v>11</v>
      </c>
      <c r="B341" t="s">
        <v>166</v>
      </c>
      <c r="C341" t="s">
        <v>344</v>
      </c>
    </row>
    <row r="342" spans="1:3" x14ac:dyDescent="0.15">
      <c r="A342" t="s">
        <v>11</v>
      </c>
      <c r="B342" t="s">
        <v>167</v>
      </c>
      <c r="C342" t="s">
        <v>727</v>
      </c>
    </row>
    <row r="343" spans="1:3" x14ac:dyDescent="0.15">
      <c r="A343" t="s">
        <v>11</v>
      </c>
      <c r="B343" t="s">
        <v>168</v>
      </c>
      <c r="C343" t="s">
        <v>345</v>
      </c>
    </row>
    <row r="344" spans="1:3" x14ac:dyDescent="0.15">
      <c r="A344" t="s">
        <v>11</v>
      </c>
      <c r="B344" t="s">
        <v>169</v>
      </c>
      <c r="C344" t="s">
        <v>346</v>
      </c>
    </row>
    <row r="345" spans="1:3" x14ac:dyDescent="0.15">
      <c r="A345" t="s">
        <v>11</v>
      </c>
      <c r="B345" t="s">
        <v>170</v>
      </c>
      <c r="C345" t="s">
        <v>728</v>
      </c>
    </row>
    <row r="346" spans="1:3" x14ac:dyDescent="0.15">
      <c r="A346" t="s">
        <v>11</v>
      </c>
      <c r="B346" t="s">
        <v>171</v>
      </c>
      <c r="C346" t="s">
        <v>347</v>
      </c>
    </row>
    <row r="347" spans="1:3" x14ac:dyDescent="0.15">
      <c r="A347" t="s">
        <v>11</v>
      </c>
      <c r="B347" t="s">
        <v>172</v>
      </c>
      <c r="C347" t="s">
        <v>729</v>
      </c>
    </row>
    <row r="348" spans="1:3" x14ac:dyDescent="0.15">
      <c r="A348" t="s">
        <v>11</v>
      </c>
      <c r="B348" t="s">
        <v>173</v>
      </c>
      <c r="C348" t="s">
        <v>348</v>
      </c>
    </row>
    <row r="349" spans="1:3" x14ac:dyDescent="0.15">
      <c r="A349" t="s">
        <v>11</v>
      </c>
      <c r="B349" t="s">
        <v>174</v>
      </c>
      <c r="C349" t="s">
        <v>965</v>
      </c>
    </row>
    <row r="350" spans="1:3" x14ac:dyDescent="0.15">
      <c r="A350" t="s">
        <v>11</v>
      </c>
      <c r="B350" t="s">
        <v>175</v>
      </c>
      <c r="C350" t="s">
        <v>349</v>
      </c>
    </row>
    <row r="351" spans="1:3" x14ac:dyDescent="0.15">
      <c r="A351" t="s">
        <v>11</v>
      </c>
      <c r="B351" t="s">
        <v>176</v>
      </c>
      <c r="C351" t="s">
        <v>350</v>
      </c>
    </row>
    <row r="352" spans="1:3" x14ac:dyDescent="0.15">
      <c r="A352" t="s">
        <v>11</v>
      </c>
      <c r="B352" t="s">
        <v>177</v>
      </c>
      <c r="C352" t="s">
        <v>411</v>
      </c>
    </row>
    <row r="353" spans="1:3" x14ac:dyDescent="0.15">
      <c r="A353" t="s">
        <v>11</v>
      </c>
      <c r="B353" t="s">
        <v>178</v>
      </c>
      <c r="C353" t="s">
        <v>412</v>
      </c>
    </row>
    <row r="354" spans="1:3" x14ac:dyDescent="0.15">
      <c r="A354" t="s">
        <v>11</v>
      </c>
      <c r="B354" t="s">
        <v>179</v>
      </c>
      <c r="C354" t="s">
        <v>1087</v>
      </c>
    </row>
    <row r="355" spans="1:3" x14ac:dyDescent="0.15">
      <c r="A355" t="s">
        <v>11</v>
      </c>
      <c r="B355" t="s">
        <v>180</v>
      </c>
      <c r="C355" t="s">
        <v>1124</v>
      </c>
    </row>
    <row r="356" spans="1:3" x14ac:dyDescent="0.15">
      <c r="A356" t="s">
        <v>11</v>
      </c>
      <c r="B356" t="s">
        <v>181</v>
      </c>
      <c r="C356" t="s">
        <v>413</v>
      </c>
    </row>
    <row r="357" spans="1:3" x14ac:dyDescent="0.15">
      <c r="A357" t="s">
        <v>11</v>
      </c>
      <c r="B357" t="s">
        <v>182</v>
      </c>
      <c r="C357" t="s">
        <v>351</v>
      </c>
    </row>
    <row r="358" spans="1:3" x14ac:dyDescent="0.15">
      <c r="A358" t="s">
        <v>11</v>
      </c>
      <c r="B358" t="s">
        <v>731</v>
      </c>
      <c r="C358" t="s">
        <v>730</v>
      </c>
    </row>
    <row r="359" spans="1:3" x14ac:dyDescent="0.15">
      <c r="A359" t="s">
        <v>11</v>
      </c>
      <c r="B359" t="s">
        <v>732</v>
      </c>
      <c r="C359" t="s">
        <v>322</v>
      </c>
    </row>
    <row r="360" spans="1:3" x14ac:dyDescent="0.15">
      <c r="A360" t="s">
        <v>12</v>
      </c>
      <c r="B360" t="s">
        <v>183</v>
      </c>
      <c r="C360" t="s">
        <v>322</v>
      </c>
    </row>
    <row r="361" spans="1:3" x14ac:dyDescent="0.15">
      <c r="A361" t="s">
        <v>12</v>
      </c>
      <c r="B361" t="s">
        <v>184</v>
      </c>
      <c r="C361" t="s">
        <v>322</v>
      </c>
    </row>
    <row r="362" spans="1:3" x14ac:dyDescent="0.15">
      <c r="A362" t="s">
        <v>12</v>
      </c>
      <c r="B362" t="s">
        <v>185</v>
      </c>
      <c r="C362" t="s">
        <v>322</v>
      </c>
    </row>
    <row r="363" spans="1:3" x14ac:dyDescent="0.15">
      <c r="A363" t="s">
        <v>12</v>
      </c>
      <c r="B363" t="s">
        <v>186</v>
      </c>
      <c r="C363" t="s">
        <v>322</v>
      </c>
    </row>
    <row r="364" spans="1:3" x14ac:dyDescent="0.15">
      <c r="A364" t="s">
        <v>12</v>
      </c>
      <c r="B364" t="s">
        <v>187</v>
      </c>
      <c r="C364" t="s">
        <v>322</v>
      </c>
    </row>
    <row r="365" spans="1:3" x14ac:dyDescent="0.15">
      <c r="A365" t="s">
        <v>12</v>
      </c>
      <c r="B365" t="s">
        <v>188</v>
      </c>
      <c r="C365" t="s">
        <v>322</v>
      </c>
    </row>
    <row r="366" spans="1:3" x14ac:dyDescent="0.15">
      <c r="A366" t="s">
        <v>12</v>
      </c>
      <c r="B366" t="s">
        <v>189</v>
      </c>
      <c r="C366" t="s">
        <v>322</v>
      </c>
    </row>
    <row r="367" spans="1:3" x14ac:dyDescent="0.15">
      <c r="A367" t="s">
        <v>12</v>
      </c>
      <c r="B367" t="s">
        <v>190</v>
      </c>
      <c r="C367" t="s">
        <v>322</v>
      </c>
    </row>
    <row r="368" spans="1:3" x14ac:dyDescent="0.15">
      <c r="A368" t="s">
        <v>12</v>
      </c>
      <c r="B368" t="s">
        <v>191</v>
      </c>
      <c r="C368" t="s">
        <v>322</v>
      </c>
    </row>
    <row r="369" spans="1:3" x14ac:dyDescent="0.15">
      <c r="A369" t="s">
        <v>12</v>
      </c>
      <c r="B369" t="s">
        <v>192</v>
      </c>
      <c r="C369" t="s">
        <v>322</v>
      </c>
    </row>
    <row r="370" spans="1:3" x14ac:dyDescent="0.15">
      <c r="A370" t="s">
        <v>12</v>
      </c>
      <c r="B370" t="s">
        <v>193</v>
      </c>
      <c r="C370" t="s">
        <v>322</v>
      </c>
    </row>
    <row r="371" spans="1:3" x14ac:dyDescent="0.15">
      <c r="A371" t="s">
        <v>12</v>
      </c>
      <c r="B371" t="s">
        <v>194</v>
      </c>
      <c r="C371" t="s">
        <v>322</v>
      </c>
    </row>
    <row r="372" spans="1:3" x14ac:dyDescent="0.15">
      <c r="A372" t="s">
        <v>12</v>
      </c>
      <c r="B372" t="s">
        <v>195</v>
      </c>
      <c r="C372" t="s">
        <v>322</v>
      </c>
    </row>
    <row r="373" spans="1:3" x14ac:dyDescent="0.15">
      <c r="A373" t="s">
        <v>12</v>
      </c>
      <c r="B373" t="s">
        <v>196</v>
      </c>
      <c r="C373" t="s">
        <v>322</v>
      </c>
    </row>
    <row r="374" spans="1:3" x14ac:dyDescent="0.15">
      <c r="A374" t="s">
        <v>12</v>
      </c>
      <c r="B374" t="s">
        <v>197</v>
      </c>
      <c r="C374" t="s">
        <v>322</v>
      </c>
    </row>
    <row r="375" spans="1:3" x14ac:dyDescent="0.15">
      <c r="A375" t="s">
        <v>12</v>
      </c>
      <c r="B375" t="s">
        <v>198</v>
      </c>
      <c r="C375" t="s">
        <v>322</v>
      </c>
    </row>
    <row r="376" spans="1:3" x14ac:dyDescent="0.15">
      <c r="A376" t="s">
        <v>12</v>
      </c>
      <c r="B376" t="s">
        <v>199</v>
      </c>
      <c r="C376" t="s">
        <v>322</v>
      </c>
    </row>
    <row r="377" spans="1:3" x14ac:dyDescent="0.15">
      <c r="A377" t="s">
        <v>12</v>
      </c>
      <c r="B377" t="s">
        <v>200</v>
      </c>
      <c r="C377" t="s">
        <v>322</v>
      </c>
    </row>
    <row r="378" spans="1:3" x14ac:dyDescent="0.15">
      <c r="A378" t="s">
        <v>12</v>
      </c>
      <c r="B378" t="s">
        <v>201</v>
      </c>
      <c r="C378" t="s">
        <v>322</v>
      </c>
    </row>
    <row r="379" spans="1:3" x14ac:dyDescent="0.15">
      <c r="A379" t="s">
        <v>12</v>
      </c>
      <c r="B379" t="s">
        <v>202</v>
      </c>
      <c r="C379" t="s">
        <v>322</v>
      </c>
    </row>
    <row r="380" spans="1:3" x14ac:dyDescent="0.15">
      <c r="A380" t="s">
        <v>12</v>
      </c>
      <c r="B380" t="s">
        <v>203</v>
      </c>
      <c r="C380" t="s">
        <v>322</v>
      </c>
    </row>
    <row r="381" spans="1:3" x14ac:dyDescent="0.15">
      <c r="A381" t="s">
        <v>12</v>
      </c>
      <c r="B381" t="s">
        <v>204</v>
      </c>
      <c r="C381" t="s">
        <v>322</v>
      </c>
    </row>
    <row r="382" spans="1:3" x14ac:dyDescent="0.15">
      <c r="A382" t="s">
        <v>12</v>
      </c>
      <c r="B382" t="s">
        <v>205</v>
      </c>
      <c r="C382" t="s">
        <v>322</v>
      </c>
    </row>
    <row r="383" spans="1:3" x14ac:dyDescent="0.15">
      <c r="A383" t="s">
        <v>12</v>
      </c>
      <c r="B383" t="s">
        <v>206</v>
      </c>
      <c r="C383" t="s">
        <v>322</v>
      </c>
    </row>
    <row r="384" spans="1:3" x14ac:dyDescent="0.15">
      <c r="A384" t="s">
        <v>12</v>
      </c>
      <c r="B384" t="s">
        <v>207</v>
      </c>
      <c r="C384" t="s">
        <v>322</v>
      </c>
    </row>
    <row r="385" spans="1:3" x14ac:dyDescent="0.15">
      <c r="A385" t="s">
        <v>18</v>
      </c>
      <c r="B385" t="s">
        <v>208</v>
      </c>
      <c r="C385" t="s">
        <v>605</v>
      </c>
    </row>
    <row r="386" spans="1:3" x14ac:dyDescent="0.15">
      <c r="A386" t="s">
        <v>18</v>
      </c>
      <c r="B386" t="s">
        <v>209</v>
      </c>
      <c r="C386" t="s">
        <v>623</v>
      </c>
    </row>
    <row r="387" spans="1:3" x14ac:dyDescent="0.15">
      <c r="A387" t="s">
        <v>18</v>
      </c>
      <c r="B387" t="s">
        <v>210</v>
      </c>
      <c r="C387" t="s">
        <v>307</v>
      </c>
    </row>
    <row r="388" spans="1:3" x14ac:dyDescent="0.15">
      <c r="A388" t="s">
        <v>18</v>
      </c>
      <c r="B388" t="s">
        <v>211</v>
      </c>
      <c r="C388" t="s">
        <v>308</v>
      </c>
    </row>
    <row r="389" spans="1:3" x14ac:dyDescent="0.15">
      <c r="A389" t="s">
        <v>18</v>
      </c>
      <c r="B389" t="s">
        <v>212</v>
      </c>
      <c r="C389" t="s">
        <v>310</v>
      </c>
    </row>
    <row r="390" spans="1:3" x14ac:dyDescent="0.15">
      <c r="A390" t="s">
        <v>18</v>
      </c>
      <c r="B390" t="s">
        <v>213</v>
      </c>
      <c r="C390" t="s">
        <v>401</v>
      </c>
    </row>
    <row r="391" spans="1:3" x14ac:dyDescent="0.15">
      <c r="A391" t="s">
        <v>18</v>
      </c>
      <c r="B391" t="s">
        <v>214</v>
      </c>
      <c r="C391" t="s">
        <v>312</v>
      </c>
    </row>
    <row r="392" spans="1:3" x14ac:dyDescent="0.15">
      <c r="A392" t="s">
        <v>18</v>
      </c>
      <c r="B392" t="s">
        <v>215</v>
      </c>
      <c r="C392" t="s">
        <v>960</v>
      </c>
    </row>
    <row r="393" spans="1:3" x14ac:dyDescent="0.15">
      <c r="A393" t="s">
        <v>18</v>
      </c>
      <c r="B393" t="s">
        <v>216</v>
      </c>
      <c r="C393" t="s">
        <v>1085</v>
      </c>
    </row>
    <row r="394" spans="1:3" x14ac:dyDescent="0.15">
      <c r="A394" t="s">
        <v>18</v>
      </c>
      <c r="B394" t="s">
        <v>217</v>
      </c>
      <c r="C394" t="s">
        <v>951</v>
      </c>
    </row>
    <row r="395" spans="1:3" x14ac:dyDescent="0.15">
      <c r="A395" t="s">
        <v>18</v>
      </c>
      <c r="B395" t="s">
        <v>218</v>
      </c>
      <c r="C395" t="s">
        <v>612</v>
      </c>
    </row>
    <row r="396" spans="1:3" x14ac:dyDescent="0.15">
      <c r="A396" t="s">
        <v>18</v>
      </c>
      <c r="B396" t="s">
        <v>219</v>
      </c>
      <c r="C396" t="s">
        <v>1082</v>
      </c>
    </row>
    <row r="397" spans="1:3" x14ac:dyDescent="0.15">
      <c r="A397" t="s">
        <v>18</v>
      </c>
      <c r="B397" t="s">
        <v>220</v>
      </c>
      <c r="C397" t="s">
        <v>1117</v>
      </c>
    </row>
    <row r="398" spans="1:3" x14ac:dyDescent="0.15">
      <c r="A398" t="s">
        <v>18</v>
      </c>
      <c r="B398" t="s">
        <v>221</v>
      </c>
      <c r="C398" t="s">
        <v>613</v>
      </c>
    </row>
    <row r="399" spans="1:3" x14ac:dyDescent="0.15">
      <c r="A399" t="s">
        <v>18</v>
      </c>
      <c r="B399" t="s">
        <v>222</v>
      </c>
      <c r="C399" t="s">
        <v>316</v>
      </c>
    </row>
    <row r="400" spans="1:3" x14ac:dyDescent="0.15">
      <c r="A400" t="s">
        <v>18</v>
      </c>
      <c r="B400" t="s">
        <v>223</v>
      </c>
      <c r="C400" t="s">
        <v>614</v>
      </c>
    </row>
    <row r="401" spans="1:3" x14ac:dyDescent="0.15">
      <c r="A401" t="s">
        <v>18</v>
      </c>
      <c r="B401" t="s">
        <v>224</v>
      </c>
      <c r="C401" t="s">
        <v>953</v>
      </c>
    </row>
    <row r="402" spans="1:3" x14ac:dyDescent="0.15">
      <c r="A402" t="s">
        <v>18</v>
      </c>
      <c r="B402" t="s">
        <v>225</v>
      </c>
      <c r="C402" t="s">
        <v>1116</v>
      </c>
    </row>
    <row r="403" spans="1:3" x14ac:dyDescent="0.15">
      <c r="A403" t="s">
        <v>18</v>
      </c>
      <c r="B403" t="s">
        <v>226</v>
      </c>
      <c r="C403" t="s">
        <v>406</v>
      </c>
    </row>
    <row r="404" spans="1:3" x14ac:dyDescent="0.15">
      <c r="A404" t="s">
        <v>18</v>
      </c>
      <c r="B404" t="s">
        <v>227</v>
      </c>
      <c r="C404" t="s">
        <v>321</v>
      </c>
    </row>
    <row r="405" spans="1:3" x14ac:dyDescent="0.15">
      <c r="A405" t="s">
        <v>18</v>
      </c>
      <c r="B405" t="s">
        <v>228</v>
      </c>
      <c r="C405" t="s">
        <v>941</v>
      </c>
    </row>
    <row r="406" spans="1:3" x14ac:dyDescent="0.15">
      <c r="A406" t="s">
        <v>18</v>
      </c>
      <c r="B406" t="s">
        <v>229</v>
      </c>
      <c r="C406" t="s">
        <v>611</v>
      </c>
    </row>
    <row r="407" spans="1:3" x14ac:dyDescent="0.15">
      <c r="A407" t="s">
        <v>18</v>
      </c>
      <c r="B407" t="s">
        <v>230</v>
      </c>
      <c r="C407" t="s">
        <v>409</v>
      </c>
    </row>
    <row r="408" spans="1:3" x14ac:dyDescent="0.15">
      <c r="A408" t="s">
        <v>18</v>
      </c>
      <c r="B408" t="s">
        <v>231</v>
      </c>
      <c r="C408" t="s">
        <v>637</v>
      </c>
    </row>
    <row r="409" spans="1:3" x14ac:dyDescent="0.15">
      <c r="A409" t="s">
        <v>18</v>
      </c>
      <c r="B409" t="s">
        <v>232</v>
      </c>
      <c r="C409" t="s">
        <v>648</v>
      </c>
    </row>
    <row r="410" spans="1:3" x14ac:dyDescent="0.15">
      <c r="A410" t="s">
        <v>18</v>
      </c>
      <c r="B410" t="s">
        <v>233</v>
      </c>
      <c r="C410" t="s">
        <v>1123</v>
      </c>
    </row>
    <row r="411" spans="1:3" x14ac:dyDescent="0.15">
      <c r="A411" t="s">
        <v>18</v>
      </c>
      <c r="B411" t="s">
        <v>234</v>
      </c>
      <c r="C411" t="s">
        <v>322</v>
      </c>
    </row>
    <row r="412" spans="1:3" x14ac:dyDescent="0.15">
      <c r="A412" t="s">
        <v>18</v>
      </c>
      <c r="B412" t="s">
        <v>1112</v>
      </c>
      <c r="C412" t="s">
        <v>615</v>
      </c>
    </row>
    <row r="413" spans="1:3" x14ac:dyDescent="0.15">
      <c r="A413" t="s">
        <v>18</v>
      </c>
      <c r="B413" t="s">
        <v>1113</v>
      </c>
      <c r="C413" t="s">
        <v>405</v>
      </c>
    </row>
    <row r="414" spans="1:3" x14ac:dyDescent="0.15">
      <c r="A414" t="s">
        <v>18</v>
      </c>
      <c r="B414" t="s">
        <v>1114</v>
      </c>
      <c r="C414" t="s">
        <v>604</v>
      </c>
    </row>
    <row r="415" spans="1:3" x14ac:dyDescent="0.15">
      <c r="A415" t="s">
        <v>18</v>
      </c>
      <c r="B415" t="s">
        <v>1115</v>
      </c>
      <c r="C415" t="s">
        <v>322</v>
      </c>
    </row>
    <row r="416" spans="1:3" x14ac:dyDescent="0.15">
      <c r="A416" t="s">
        <v>390</v>
      </c>
      <c r="B416" t="s">
        <v>414</v>
      </c>
      <c r="C416" t="s">
        <v>339</v>
      </c>
    </row>
    <row r="417" spans="1:3" x14ac:dyDescent="0.15">
      <c r="A417" t="s">
        <v>390</v>
      </c>
      <c r="B417" t="s">
        <v>415</v>
      </c>
      <c r="C417" t="s">
        <v>340</v>
      </c>
    </row>
    <row r="418" spans="1:3" x14ac:dyDescent="0.15">
      <c r="A418" t="s">
        <v>390</v>
      </c>
      <c r="B418" t="s">
        <v>416</v>
      </c>
      <c r="C418" t="s">
        <v>341</v>
      </c>
    </row>
    <row r="419" spans="1:3" x14ac:dyDescent="0.15">
      <c r="A419" t="s">
        <v>390</v>
      </c>
      <c r="B419" t="s">
        <v>417</v>
      </c>
      <c r="C419" t="s">
        <v>342</v>
      </c>
    </row>
    <row r="420" spans="1:3" x14ac:dyDescent="0.15">
      <c r="A420" t="s">
        <v>390</v>
      </c>
      <c r="B420" t="s">
        <v>418</v>
      </c>
      <c r="C420" t="s">
        <v>343</v>
      </c>
    </row>
    <row r="421" spans="1:3" x14ac:dyDescent="0.15">
      <c r="A421" t="s">
        <v>390</v>
      </c>
      <c r="B421" t="s">
        <v>419</v>
      </c>
      <c r="C421" t="s">
        <v>948</v>
      </c>
    </row>
    <row r="422" spans="1:3" x14ac:dyDescent="0.15">
      <c r="A422" t="s">
        <v>390</v>
      </c>
      <c r="B422" t="s">
        <v>420</v>
      </c>
      <c r="C422" t="s">
        <v>733</v>
      </c>
    </row>
    <row r="423" spans="1:3" x14ac:dyDescent="0.15">
      <c r="A423" t="s">
        <v>390</v>
      </c>
      <c r="B423" t="s">
        <v>421</v>
      </c>
      <c r="C423" t="s">
        <v>324</v>
      </c>
    </row>
    <row r="424" spans="1:3" x14ac:dyDescent="0.15">
      <c r="A424" t="s">
        <v>390</v>
      </c>
      <c r="B424" t="s">
        <v>422</v>
      </c>
      <c r="C424" t="s">
        <v>344</v>
      </c>
    </row>
    <row r="425" spans="1:3" x14ac:dyDescent="0.15">
      <c r="A425" t="s">
        <v>390</v>
      </c>
      <c r="B425" t="s">
        <v>423</v>
      </c>
      <c r="C425" t="s">
        <v>727</v>
      </c>
    </row>
    <row r="426" spans="1:3" x14ac:dyDescent="0.15">
      <c r="A426" t="s">
        <v>390</v>
      </c>
      <c r="B426" t="s">
        <v>424</v>
      </c>
      <c r="C426" t="s">
        <v>345</v>
      </c>
    </row>
    <row r="427" spans="1:3" x14ac:dyDescent="0.15">
      <c r="A427" t="s">
        <v>390</v>
      </c>
      <c r="B427" t="s">
        <v>425</v>
      </c>
      <c r="C427" t="s">
        <v>346</v>
      </c>
    </row>
    <row r="428" spans="1:3" x14ac:dyDescent="0.15">
      <c r="A428" t="s">
        <v>390</v>
      </c>
      <c r="B428" t="s">
        <v>426</v>
      </c>
      <c r="C428" t="s">
        <v>728</v>
      </c>
    </row>
    <row r="429" spans="1:3" x14ac:dyDescent="0.15">
      <c r="A429" t="s">
        <v>390</v>
      </c>
      <c r="B429" t="s">
        <v>427</v>
      </c>
      <c r="C429" t="s">
        <v>347</v>
      </c>
    </row>
    <row r="430" spans="1:3" x14ac:dyDescent="0.15">
      <c r="A430" t="s">
        <v>390</v>
      </c>
      <c r="B430" t="s">
        <v>428</v>
      </c>
      <c r="C430" t="s">
        <v>729</v>
      </c>
    </row>
    <row r="431" spans="1:3" x14ac:dyDescent="0.15">
      <c r="A431" t="s">
        <v>390</v>
      </c>
      <c r="B431" t="s">
        <v>429</v>
      </c>
      <c r="C431" t="s">
        <v>348</v>
      </c>
    </row>
    <row r="432" spans="1:3" x14ac:dyDescent="0.15">
      <c r="A432" t="s">
        <v>390</v>
      </c>
      <c r="B432" t="s">
        <v>430</v>
      </c>
      <c r="C432" t="s">
        <v>965</v>
      </c>
    </row>
    <row r="433" spans="1:3" x14ac:dyDescent="0.15">
      <c r="A433" t="s">
        <v>390</v>
      </c>
      <c r="B433" t="s">
        <v>431</v>
      </c>
      <c r="C433" t="s">
        <v>349</v>
      </c>
    </row>
    <row r="434" spans="1:3" x14ac:dyDescent="0.15">
      <c r="A434" t="s">
        <v>390</v>
      </c>
      <c r="B434" t="s">
        <v>432</v>
      </c>
      <c r="C434" t="s">
        <v>350</v>
      </c>
    </row>
    <row r="435" spans="1:3" x14ac:dyDescent="0.15">
      <c r="A435" t="s">
        <v>390</v>
      </c>
      <c r="B435" t="s">
        <v>433</v>
      </c>
      <c r="C435" t="s">
        <v>411</v>
      </c>
    </row>
    <row r="436" spans="1:3" x14ac:dyDescent="0.15">
      <c r="A436" t="s">
        <v>390</v>
      </c>
      <c r="B436" t="s">
        <v>434</v>
      </c>
      <c r="C436" t="s">
        <v>412</v>
      </c>
    </row>
    <row r="437" spans="1:3" x14ac:dyDescent="0.15">
      <c r="A437" t="s">
        <v>390</v>
      </c>
      <c r="B437" t="s">
        <v>435</v>
      </c>
      <c r="C437" t="s">
        <v>1087</v>
      </c>
    </row>
    <row r="438" spans="1:3" x14ac:dyDescent="0.15">
      <c r="A438" t="s">
        <v>390</v>
      </c>
      <c r="B438" t="s">
        <v>436</v>
      </c>
      <c r="C438" t="s">
        <v>1124</v>
      </c>
    </row>
    <row r="439" spans="1:3" x14ac:dyDescent="0.15">
      <c r="A439" t="s">
        <v>390</v>
      </c>
      <c r="B439" t="s">
        <v>437</v>
      </c>
      <c r="C439" t="s">
        <v>413</v>
      </c>
    </row>
    <row r="440" spans="1:3" x14ac:dyDescent="0.15">
      <c r="A440" t="s">
        <v>390</v>
      </c>
      <c r="B440" t="s">
        <v>438</v>
      </c>
      <c r="C440" t="s">
        <v>351</v>
      </c>
    </row>
    <row r="441" spans="1:3" x14ac:dyDescent="0.15">
      <c r="A441" t="s">
        <v>391</v>
      </c>
      <c r="B441" t="s">
        <v>439</v>
      </c>
      <c r="C441" t="s">
        <v>322</v>
      </c>
    </row>
    <row r="442" spans="1:3" x14ac:dyDescent="0.15">
      <c r="A442" t="s">
        <v>391</v>
      </c>
      <c r="B442" t="s">
        <v>440</v>
      </c>
      <c r="C442" t="s">
        <v>322</v>
      </c>
    </row>
    <row r="443" spans="1:3" x14ac:dyDescent="0.15">
      <c r="A443" t="s">
        <v>391</v>
      </c>
      <c r="B443" t="s">
        <v>441</v>
      </c>
      <c r="C443" t="s">
        <v>322</v>
      </c>
    </row>
    <row r="444" spans="1:3" x14ac:dyDescent="0.15">
      <c r="A444" t="s">
        <v>391</v>
      </c>
      <c r="B444" t="s">
        <v>442</v>
      </c>
      <c r="C444" t="s">
        <v>322</v>
      </c>
    </row>
    <row r="445" spans="1:3" x14ac:dyDescent="0.15">
      <c r="A445" t="s">
        <v>391</v>
      </c>
      <c r="B445" t="s">
        <v>443</v>
      </c>
      <c r="C445" t="s">
        <v>322</v>
      </c>
    </row>
    <row r="446" spans="1:3" x14ac:dyDescent="0.15">
      <c r="A446" t="s">
        <v>391</v>
      </c>
      <c r="B446" t="s">
        <v>444</v>
      </c>
      <c r="C446" t="s">
        <v>322</v>
      </c>
    </row>
    <row r="447" spans="1:3" x14ac:dyDescent="0.15">
      <c r="A447" t="s">
        <v>391</v>
      </c>
      <c r="B447" t="s">
        <v>445</v>
      </c>
      <c r="C447" t="s">
        <v>322</v>
      </c>
    </row>
    <row r="448" spans="1:3" x14ac:dyDescent="0.15">
      <c r="A448" t="s">
        <v>391</v>
      </c>
      <c r="B448" t="s">
        <v>446</v>
      </c>
      <c r="C448" t="s">
        <v>322</v>
      </c>
    </row>
    <row r="449" spans="1:3" x14ac:dyDescent="0.15">
      <c r="A449" t="s">
        <v>391</v>
      </c>
      <c r="B449" t="s">
        <v>447</v>
      </c>
      <c r="C449" t="s">
        <v>322</v>
      </c>
    </row>
    <row r="450" spans="1:3" x14ac:dyDescent="0.15">
      <c r="A450" t="s">
        <v>391</v>
      </c>
      <c r="B450" t="s">
        <v>448</v>
      </c>
      <c r="C450" t="s">
        <v>322</v>
      </c>
    </row>
    <row r="451" spans="1:3" x14ac:dyDescent="0.15">
      <c r="A451" t="s">
        <v>391</v>
      </c>
      <c r="B451" t="s">
        <v>449</v>
      </c>
      <c r="C451" t="s">
        <v>322</v>
      </c>
    </row>
    <row r="452" spans="1:3" x14ac:dyDescent="0.15">
      <c r="A452" t="s">
        <v>391</v>
      </c>
      <c r="B452" t="s">
        <v>450</v>
      </c>
      <c r="C452" t="s">
        <v>322</v>
      </c>
    </row>
    <row r="453" spans="1:3" x14ac:dyDescent="0.15">
      <c r="A453" t="s">
        <v>391</v>
      </c>
      <c r="B453" t="s">
        <v>451</v>
      </c>
      <c r="C453" t="s">
        <v>322</v>
      </c>
    </row>
    <row r="454" spans="1:3" x14ac:dyDescent="0.15">
      <c r="A454" t="s">
        <v>391</v>
      </c>
      <c r="B454" t="s">
        <v>452</v>
      </c>
      <c r="C454" t="s">
        <v>322</v>
      </c>
    </row>
    <row r="455" spans="1:3" x14ac:dyDescent="0.15">
      <c r="A455" t="s">
        <v>392</v>
      </c>
      <c r="B455" t="s">
        <v>453</v>
      </c>
      <c r="C455" t="s">
        <v>322</v>
      </c>
    </row>
    <row r="456" spans="1:3" x14ac:dyDescent="0.15">
      <c r="A456" t="s">
        <v>392</v>
      </c>
      <c r="B456" t="s">
        <v>454</v>
      </c>
      <c r="C456" t="s">
        <v>322</v>
      </c>
    </row>
    <row r="457" spans="1:3" x14ac:dyDescent="0.15">
      <c r="A457" t="s">
        <v>392</v>
      </c>
      <c r="B457" t="s">
        <v>455</v>
      </c>
      <c r="C457" t="s">
        <v>322</v>
      </c>
    </row>
    <row r="458" spans="1:3" x14ac:dyDescent="0.15">
      <c r="A458" t="s">
        <v>392</v>
      </c>
      <c r="B458" t="s">
        <v>456</v>
      </c>
      <c r="C458" t="s">
        <v>322</v>
      </c>
    </row>
    <row r="459" spans="1:3" x14ac:dyDescent="0.15">
      <c r="A459" t="s">
        <v>392</v>
      </c>
      <c r="B459" t="s">
        <v>457</v>
      </c>
      <c r="C459" t="s">
        <v>322</v>
      </c>
    </row>
    <row r="460" spans="1:3" x14ac:dyDescent="0.15">
      <c r="A460" t="s">
        <v>392</v>
      </c>
      <c r="B460" t="s">
        <v>458</v>
      </c>
      <c r="C460" t="s">
        <v>322</v>
      </c>
    </row>
    <row r="461" spans="1:3" x14ac:dyDescent="0.15">
      <c r="A461" t="s">
        <v>392</v>
      </c>
      <c r="B461" t="s">
        <v>459</v>
      </c>
      <c r="C461" t="s">
        <v>322</v>
      </c>
    </row>
    <row r="462" spans="1:3" x14ac:dyDescent="0.15">
      <c r="A462" t="s">
        <v>392</v>
      </c>
      <c r="B462" t="s">
        <v>460</v>
      </c>
      <c r="C462" t="s">
        <v>322</v>
      </c>
    </row>
    <row r="463" spans="1:3" x14ac:dyDescent="0.15">
      <c r="A463" t="s">
        <v>392</v>
      </c>
      <c r="B463" t="s">
        <v>461</v>
      </c>
      <c r="C463" t="s">
        <v>322</v>
      </c>
    </row>
    <row r="464" spans="1:3" x14ac:dyDescent="0.15">
      <c r="A464" t="s">
        <v>392</v>
      </c>
      <c r="B464" t="s">
        <v>462</v>
      </c>
      <c r="C464" t="s">
        <v>322</v>
      </c>
    </row>
    <row r="465" spans="1:3" x14ac:dyDescent="0.15">
      <c r="A465" t="s">
        <v>392</v>
      </c>
      <c r="B465" t="s">
        <v>463</v>
      </c>
      <c r="C465" t="s">
        <v>322</v>
      </c>
    </row>
    <row r="466" spans="1:3" x14ac:dyDescent="0.15">
      <c r="A466" t="s">
        <v>392</v>
      </c>
      <c r="B466" t="s">
        <v>464</v>
      </c>
      <c r="C466" t="s">
        <v>322</v>
      </c>
    </row>
    <row r="467" spans="1:3" x14ac:dyDescent="0.15">
      <c r="A467" t="s">
        <v>392</v>
      </c>
      <c r="B467" t="s">
        <v>465</v>
      </c>
      <c r="C467" t="s">
        <v>322</v>
      </c>
    </row>
    <row r="468" spans="1:3" x14ac:dyDescent="0.15">
      <c r="A468" t="s">
        <v>392</v>
      </c>
      <c r="B468" t="s">
        <v>466</v>
      </c>
      <c r="C468" t="s">
        <v>322</v>
      </c>
    </row>
    <row r="469" spans="1:3" x14ac:dyDescent="0.15">
      <c r="A469" t="s">
        <v>393</v>
      </c>
      <c r="B469" t="s">
        <v>467</v>
      </c>
      <c r="C469" t="s">
        <v>956</v>
      </c>
    </row>
    <row r="470" spans="1:3" x14ac:dyDescent="0.15">
      <c r="A470" t="s">
        <v>393</v>
      </c>
      <c r="B470" t="s">
        <v>468</v>
      </c>
      <c r="C470" t="s">
        <v>913</v>
      </c>
    </row>
    <row r="471" spans="1:3" x14ac:dyDescent="0.15">
      <c r="A471" t="s">
        <v>393</v>
      </c>
      <c r="B471" t="s">
        <v>469</v>
      </c>
      <c r="C471" t="s">
        <v>353</v>
      </c>
    </row>
    <row r="472" spans="1:3" x14ac:dyDescent="0.15">
      <c r="A472" t="s">
        <v>393</v>
      </c>
      <c r="B472" t="s">
        <v>470</v>
      </c>
      <c r="C472" t="s">
        <v>357</v>
      </c>
    </row>
    <row r="473" spans="1:3" x14ac:dyDescent="0.15">
      <c r="A473" t="s">
        <v>393</v>
      </c>
      <c r="B473" t="s">
        <v>471</v>
      </c>
      <c r="C473" t="s">
        <v>947</v>
      </c>
    </row>
    <row r="474" spans="1:3" x14ac:dyDescent="0.15">
      <c r="A474" t="s">
        <v>393</v>
      </c>
      <c r="B474" t="s">
        <v>472</v>
      </c>
      <c r="C474" t="s">
        <v>1045</v>
      </c>
    </row>
    <row r="475" spans="1:3" x14ac:dyDescent="0.15">
      <c r="A475" t="s">
        <v>393</v>
      </c>
      <c r="B475" t="s">
        <v>473</v>
      </c>
      <c r="C475" t="s">
        <v>354</v>
      </c>
    </row>
    <row r="476" spans="1:3" x14ac:dyDescent="0.15">
      <c r="A476" t="s">
        <v>393</v>
      </c>
      <c r="B476" t="s">
        <v>474</v>
      </c>
      <c r="C476" t="s">
        <v>358</v>
      </c>
    </row>
    <row r="477" spans="1:3" x14ac:dyDescent="0.15">
      <c r="A477" t="s">
        <v>393</v>
      </c>
      <c r="B477" t="s">
        <v>475</v>
      </c>
      <c r="C477" t="s">
        <v>359</v>
      </c>
    </row>
    <row r="478" spans="1:3" x14ac:dyDescent="0.15">
      <c r="A478" t="s">
        <v>393</v>
      </c>
      <c r="B478" t="s">
        <v>476</v>
      </c>
      <c r="C478" t="s">
        <v>1046</v>
      </c>
    </row>
    <row r="479" spans="1:3" x14ac:dyDescent="0.15">
      <c r="A479" t="s">
        <v>393</v>
      </c>
      <c r="B479" t="s">
        <v>477</v>
      </c>
      <c r="C479" t="s">
        <v>367</v>
      </c>
    </row>
    <row r="480" spans="1:3" x14ac:dyDescent="0.15">
      <c r="A480" t="s">
        <v>393</v>
      </c>
      <c r="B480" t="s">
        <v>478</v>
      </c>
      <c r="C480" t="s">
        <v>356</v>
      </c>
    </row>
    <row r="481" spans="1:3" x14ac:dyDescent="0.15">
      <c r="A481" t="s">
        <v>393</v>
      </c>
      <c r="B481" t="s">
        <v>479</v>
      </c>
      <c r="C481" t="s">
        <v>363</v>
      </c>
    </row>
    <row r="482" spans="1:3" x14ac:dyDescent="0.15">
      <c r="A482" t="s">
        <v>393</v>
      </c>
      <c r="B482" t="s">
        <v>480</v>
      </c>
      <c r="C482" t="s">
        <v>365</v>
      </c>
    </row>
    <row r="483" spans="1:3" x14ac:dyDescent="0.15">
      <c r="A483" t="s">
        <v>393</v>
      </c>
      <c r="B483" t="s">
        <v>481</v>
      </c>
      <c r="C483" t="s">
        <v>355</v>
      </c>
    </row>
    <row r="484" spans="1:3" x14ac:dyDescent="0.15">
      <c r="A484" t="s">
        <v>393</v>
      </c>
      <c r="B484" t="s">
        <v>482</v>
      </c>
      <c r="C484" t="s">
        <v>338</v>
      </c>
    </row>
    <row r="485" spans="1:3" x14ac:dyDescent="0.15">
      <c r="A485" t="s">
        <v>393</v>
      </c>
      <c r="B485" t="s">
        <v>483</v>
      </c>
      <c r="C485" t="s">
        <v>360</v>
      </c>
    </row>
    <row r="486" spans="1:3" x14ac:dyDescent="0.15">
      <c r="A486" t="s">
        <v>393</v>
      </c>
      <c r="B486" t="s">
        <v>484</v>
      </c>
      <c r="C486" t="s">
        <v>1041</v>
      </c>
    </row>
    <row r="487" spans="1:3" x14ac:dyDescent="0.15">
      <c r="A487" t="s">
        <v>393</v>
      </c>
      <c r="B487" t="s">
        <v>485</v>
      </c>
      <c r="C487" t="s">
        <v>552</v>
      </c>
    </row>
    <row r="488" spans="1:3" x14ac:dyDescent="0.15">
      <c r="A488" t="s">
        <v>393</v>
      </c>
      <c r="B488" t="s">
        <v>486</v>
      </c>
      <c r="C488" t="s">
        <v>1083</v>
      </c>
    </row>
    <row r="489" spans="1:3" x14ac:dyDescent="0.15">
      <c r="A489" t="s">
        <v>393</v>
      </c>
      <c r="B489" t="s">
        <v>487</v>
      </c>
      <c r="C489" t="s">
        <v>1118</v>
      </c>
    </row>
    <row r="490" spans="1:3" x14ac:dyDescent="0.15">
      <c r="A490" t="s">
        <v>393</v>
      </c>
      <c r="B490" t="s">
        <v>488</v>
      </c>
      <c r="C490" t="s">
        <v>1047</v>
      </c>
    </row>
    <row r="491" spans="1:3" x14ac:dyDescent="0.15">
      <c r="A491" t="s">
        <v>393</v>
      </c>
      <c r="B491" t="s">
        <v>489</v>
      </c>
      <c r="C491" t="s">
        <v>952</v>
      </c>
    </row>
    <row r="492" spans="1:3" x14ac:dyDescent="0.15">
      <c r="A492" t="s">
        <v>393</v>
      </c>
      <c r="B492" t="s">
        <v>490</v>
      </c>
      <c r="C492" t="s">
        <v>945</v>
      </c>
    </row>
    <row r="493" spans="1:3" x14ac:dyDescent="0.15">
      <c r="A493" t="s">
        <v>393</v>
      </c>
      <c r="B493" t="s">
        <v>491</v>
      </c>
      <c r="C493" t="s">
        <v>1119</v>
      </c>
    </row>
    <row r="494" spans="1:3" x14ac:dyDescent="0.15">
      <c r="A494" t="s">
        <v>393</v>
      </c>
      <c r="B494" t="s">
        <v>1048</v>
      </c>
      <c r="C494" t="s">
        <v>322</v>
      </c>
    </row>
    <row r="495" spans="1:3" x14ac:dyDescent="0.15">
      <c r="A495" t="s">
        <v>393</v>
      </c>
      <c r="B495" t="s">
        <v>1049</v>
      </c>
      <c r="C495" t="s">
        <v>322</v>
      </c>
    </row>
    <row r="496" spans="1:3" x14ac:dyDescent="0.15">
      <c r="A496" t="s">
        <v>393</v>
      </c>
      <c r="B496" t="s">
        <v>1050</v>
      </c>
      <c r="C496" t="s">
        <v>322</v>
      </c>
    </row>
    <row r="497" spans="1:3" x14ac:dyDescent="0.15">
      <c r="A497" t="s">
        <v>393</v>
      </c>
      <c r="B497" t="s">
        <v>1051</v>
      </c>
      <c r="C497" t="s">
        <v>322</v>
      </c>
    </row>
    <row r="498" spans="1:3" x14ac:dyDescent="0.15">
      <c r="A498" t="s">
        <v>393</v>
      </c>
      <c r="B498" t="s">
        <v>1052</v>
      </c>
      <c r="C498" t="s">
        <v>322</v>
      </c>
    </row>
    <row r="499" spans="1:3" x14ac:dyDescent="0.15">
      <c r="A499" t="s">
        <v>393</v>
      </c>
      <c r="B499" t="s">
        <v>1053</v>
      </c>
      <c r="C499" t="s">
        <v>322</v>
      </c>
    </row>
    <row r="500" spans="1:3" x14ac:dyDescent="0.15">
      <c r="A500" t="s">
        <v>393</v>
      </c>
      <c r="B500" t="s">
        <v>1054</v>
      </c>
      <c r="C500" t="s">
        <v>322</v>
      </c>
    </row>
    <row r="501" spans="1:3" x14ac:dyDescent="0.15">
      <c r="A501" t="s">
        <v>393</v>
      </c>
      <c r="B501" t="s">
        <v>1075</v>
      </c>
      <c r="C501" t="s">
        <v>322</v>
      </c>
    </row>
    <row r="502" spans="1:3" x14ac:dyDescent="0.15">
      <c r="A502" t="s">
        <v>393</v>
      </c>
      <c r="B502" t="s">
        <v>1076</v>
      </c>
      <c r="C502" t="s">
        <v>322</v>
      </c>
    </row>
    <row r="503" spans="1:3" x14ac:dyDescent="0.15">
      <c r="A503" t="s">
        <v>582</v>
      </c>
      <c r="B503" t="s">
        <v>736</v>
      </c>
      <c r="C503" t="s">
        <v>322</v>
      </c>
    </row>
    <row r="504" spans="1:3" x14ac:dyDescent="0.15">
      <c r="A504" t="s">
        <v>582</v>
      </c>
      <c r="B504" t="s">
        <v>737</v>
      </c>
      <c r="C504" t="s">
        <v>322</v>
      </c>
    </row>
    <row r="505" spans="1:3" x14ac:dyDescent="0.15">
      <c r="A505" t="s">
        <v>582</v>
      </c>
      <c r="B505" t="s">
        <v>738</v>
      </c>
      <c r="C505" t="s">
        <v>322</v>
      </c>
    </row>
    <row r="506" spans="1:3" x14ac:dyDescent="0.15">
      <c r="A506" t="s">
        <v>582</v>
      </c>
      <c r="B506" t="s">
        <v>739</v>
      </c>
      <c r="C506" t="s">
        <v>322</v>
      </c>
    </row>
    <row r="507" spans="1:3" x14ac:dyDescent="0.15">
      <c r="A507" t="s">
        <v>582</v>
      </c>
      <c r="B507" t="s">
        <v>740</v>
      </c>
      <c r="C507" t="s">
        <v>322</v>
      </c>
    </row>
    <row r="508" spans="1:3" x14ac:dyDescent="0.15">
      <c r="A508" t="s">
        <v>582</v>
      </c>
      <c r="B508" t="s">
        <v>741</v>
      </c>
      <c r="C508" t="s">
        <v>322</v>
      </c>
    </row>
    <row r="509" spans="1:3" x14ac:dyDescent="0.15">
      <c r="A509" t="s">
        <v>582</v>
      </c>
      <c r="B509" t="s">
        <v>742</v>
      </c>
      <c r="C509" t="s">
        <v>322</v>
      </c>
    </row>
    <row r="510" spans="1:3" x14ac:dyDescent="0.15">
      <c r="A510" t="s">
        <v>582</v>
      </c>
      <c r="B510" t="s">
        <v>743</v>
      </c>
      <c r="C510" t="s">
        <v>322</v>
      </c>
    </row>
    <row r="511" spans="1:3" x14ac:dyDescent="0.15">
      <c r="A511" t="s">
        <v>582</v>
      </c>
      <c r="B511" t="s">
        <v>744</v>
      </c>
      <c r="C511" t="s">
        <v>322</v>
      </c>
    </row>
    <row r="512" spans="1:3" x14ac:dyDescent="0.15">
      <c r="A512" t="s">
        <v>582</v>
      </c>
      <c r="B512" t="s">
        <v>745</v>
      </c>
      <c r="C512" t="s">
        <v>322</v>
      </c>
    </row>
    <row r="513" spans="1:3" x14ac:dyDescent="0.15">
      <c r="A513" t="s">
        <v>582</v>
      </c>
      <c r="B513" t="s">
        <v>746</v>
      </c>
      <c r="C513" t="s">
        <v>322</v>
      </c>
    </row>
    <row r="514" spans="1:3" x14ac:dyDescent="0.15">
      <c r="A514" t="s">
        <v>582</v>
      </c>
      <c r="B514" t="s">
        <v>747</v>
      </c>
      <c r="C514" t="s">
        <v>322</v>
      </c>
    </row>
    <row r="515" spans="1:3" x14ac:dyDescent="0.15">
      <c r="A515" t="s">
        <v>582</v>
      </c>
      <c r="B515" t="s">
        <v>748</v>
      </c>
      <c r="C515" t="s">
        <v>322</v>
      </c>
    </row>
    <row r="516" spans="1:3" x14ac:dyDescent="0.15">
      <c r="A516" t="s">
        <v>582</v>
      </c>
      <c r="B516" t="s">
        <v>749</v>
      </c>
      <c r="C516" t="s">
        <v>322</v>
      </c>
    </row>
    <row r="517" spans="1:3" x14ac:dyDescent="0.15">
      <c r="A517" t="s">
        <v>582</v>
      </c>
      <c r="B517" t="s">
        <v>750</v>
      </c>
      <c r="C517" t="s">
        <v>322</v>
      </c>
    </row>
    <row r="518" spans="1:3" x14ac:dyDescent="0.15">
      <c r="A518" t="s">
        <v>582</v>
      </c>
      <c r="B518" t="s">
        <v>751</v>
      </c>
      <c r="C518" t="s">
        <v>322</v>
      </c>
    </row>
    <row r="519" spans="1:3" x14ac:dyDescent="0.15">
      <c r="A519" t="s">
        <v>582</v>
      </c>
      <c r="B519" t="s">
        <v>752</v>
      </c>
      <c r="C519" t="s">
        <v>322</v>
      </c>
    </row>
    <row r="520" spans="1:3" x14ac:dyDescent="0.15">
      <c r="A520" t="s">
        <v>582</v>
      </c>
      <c r="B520" t="s">
        <v>753</v>
      </c>
      <c r="C520" t="s">
        <v>322</v>
      </c>
    </row>
    <row r="521" spans="1:3" x14ac:dyDescent="0.15">
      <c r="A521" t="s">
        <v>582</v>
      </c>
      <c r="B521" t="s">
        <v>754</v>
      </c>
      <c r="C521" t="s">
        <v>322</v>
      </c>
    </row>
    <row r="522" spans="1:3" x14ac:dyDescent="0.15">
      <c r="A522" t="s">
        <v>582</v>
      </c>
      <c r="B522" t="s">
        <v>755</v>
      </c>
      <c r="C522" t="s">
        <v>322</v>
      </c>
    </row>
    <row r="523" spans="1:3" x14ac:dyDescent="0.15">
      <c r="A523" t="s">
        <v>582</v>
      </c>
      <c r="B523" t="s">
        <v>756</v>
      </c>
      <c r="C523" t="s">
        <v>322</v>
      </c>
    </row>
    <row r="524" spans="1:3" x14ac:dyDescent="0.15">
      <c r="A524" t="s">
        <v>582</v>
      </c>
      <c r="B524" t="s">
        <v>757</v>
      </c>
      <c r="C524" t="s">
        <v>322</v>
      </c>
    </row>
    <row r="525" spans="1:3" x14ac:dyDescent="0.15">
      <c r="A525" t="s">
        <v>582</v>
      </c>
      <c r="B525" t="s">
        <v>758</v>
      </c>
      <c r="C525" t="s">
        <v>322</v>
      </c>
    </row>
    <row r="526" spans="1:3" x14ac:dyDescent="0.15">
      <c r="A526" t="s">
        <v>582</v>
      </c>
      <c r="B526" t="s">
        <v>759</v>
      </c>
      <c r="C526" t="s">
        <v>322</v>
      </c>
    </row>
    <row r="527" spans="1:3" x14ac:dyDescent="0.15">
      <c r="A527" t="s">
        <v>582</v>
      </c>
      <c r="B527" t="s">
        <v>760</v>
      </c>
      <c r="C527" t="s">
        <v>322</v>
      </c>
    </row>
    <row r="528" spans="1:3" x14ac:dyDescent="0.15">
      <c r="A528" t="s">
        <v>394</v>
      </c>
      <c r="B528" t="s">
        <v>492</v>
      </c>
      <c r="C528" t="s">
        <v>761</v>
      </c>
    </row>
    <row r="529" spans="1:3" x14ac:dyDescent="0.15">
      <c r="A529" t="s">
        <v>394</v>
      </c>
      <c r="B529" t="s">
        <v>493</v>
      </c>
      <c r="C529" t="s">
        <v>1120</v>
      </c>
    </row>
    <row r="530" spans="1:3" x14ac:dyDescent="0.15">
      <c r="A530" t="s">
        <v>394</v>
      </c>
      <c r="B530" t="s">
        <v>494</v>
      </c>
      <c r="C530" t="s">
        <v>368</v>
      </c>
    </row>
    <row r="531" spans="1:3" x14ac:dyDescent="0.15">
      <c r="A531" t="s">
        <v>394</v>
      </c>
      <c r="B531" t="s">
        <v>495</v>
      </c>
      <c r="C531" t="s">
        <v>350</v>
      </c>
    </row>
    <row r="532" spans="1:3" x14ac:dyDescent="0.15">
      <c r="A532" t="s">
        <v>394</v>
      </c>
      <c r="B532" t="s">
        <v>496</v>
      </c>
      <c r="C532" t="s">
        <v>497</v>
      </c>
    </row>
    <row r="533" spans="1:3" x14ac:dyDescent="0.15">
      <c r="A533" t="s">
        <v>394</v>
      </c>
      <c r="B533" t="s">
        <v>498</v>
      </c>
      <c r="C533" t="s">
        <v>763</v>
      </c>
    </row>
    <row r="534" spans="1:3" x14ac:dyDescent="0.15">
      <c r="A534" t="s">
        <v>394</v>
      </c>
      <c r="B534" t="s">
        <v>499</v>
      </c>
      <c r="C534" t="s">
        <v>764</v>
      </c>
    </row>
    <row r="535" spans="1:3" x14ac:dyDescent="0.15">
      <c r="A535" t="s">
        <v>395</v>
      </c>
      <c r="B535" t="s">
        <v>500</v>
      </c>
      <c r="C535" t="s">
        <v>376</v>
      </c>
    </row>
    <row r="536" spans="1:3" x14ac:dyDescent="0.15">
      <c r="A536" t="s">
        <v>395</v>
      </c>
      <c r="B536" t="s">
        <v>501</v>
      </c>
      <c r="C536" t="s">
        <v>370</v>
      </c>
    </row>
    <row r="537" spans="1:3" x14ac:dyDescent="0.15">
      <c r="A537" t="s">
        <v>395</v>
      </c>
      <c r="B537" t="s">
        <v>502</v>
      </c>
      <c r="C537" t="s">
        <v>375</v>
      </c>
    </row>
    <row r="538" spans="1:3" x14ac:dyDescent="0.15">
      <c r="A538" t="s">
        <v>395</v>
      </c>
      <c r="B538" t="s">
        <v>503</v>
      </c>
      <c r="C538" t="s">
        <v>352</v>
      </c>
    </row>
    <row r="539" spans="1:3" x14ac:dyDescent="0.15">
      <c r="A539" t="s">
        <v>395</v>
      </c>
      <c r="B539" t="s">
        <v>504</v>
      </c>
      <c r="C539" t="s">
        <v>377</v>
      </c>
    </row>
    <row r="540" spans="1:3" x14ac:dyDescent="0.15">
      <c r="A540" t="s">
        <v>395</v>
      </c>
      <c r="B540" t="s">
        <v>505</v>
      </c>
      <c r="C540" t="s">
        <v>373</v>
      </c>
    </row>
    <row r="541" spans="1:3" x14ac:dyDescent="0.15">
      <c r="A541" t="s">
        <v>395</v>
      </c>
      <c r="B541" t="s">
        <v>506</v>
      </c>
      <c r="C541" t="s">
        <v>379</v>
      </c>
    </row>
    <row r="542" spans="1:3" x14ac:dyDescent="0.15">
      <c r="A542" t="s">
        <v>395</v>
      </c>
      <c r="B542" t="s">
        <v>507</v>
      </c>
      <c r="C542" t="s">
        <v>734</v>
      </c>
    </row>
    <row r="543" spans="1:3" x14ac:dyDescent="0.15">
      <c r="A543" t="s">
        <v>395</v>
      </c>
      <c r="B543" t="s">
        <v>508</v>
      </c>
      <c r="C543" t="s">
        <v>371</v>
      </c>
    </row>
    <row r="544" spans="1:3" x14ac:dyDescent="0.15">
      <c r="A544" t="s">
        <v>395</v>
      </c>
      <c r="B544" t="s">
        <v>509</v>
      </c>
      <c r="C544" t="s">
        <v>735</v>
      </c>
    </row>
    <row r="545" spans="1:3" x14ac:dyDescent="0.15">
      <c r="A545" t="s">
        <v>395</v>
      </c>
      <c r="B545" t="s">
        <v>510</v>
      </c>
      <c r="C545" t="s">
        <v>369</v>
      </c>
    </row>
    <row r="546" spans="1:3" x14ac:dyDescent="0.15">
      <c r="A546" t="s">
        <v>395</v>
      </c>
      <c r="B546" t="s">
        <v>511</v>
      </c>
      <c r="C546" t="s">
        <v>372</v>
      </c>
    </row>
    <row r="547" spans="1:3" x14ac:dyDescent="0.15">
      <c r="A547" t="s">
        <v>395</v>
      </c>
      <c r="B547" t="s">
        <v>512</v>
      </c>
      <c r="C547" t="s">
        <v>378</v>
      </c>
    </row>
    <row r="548" spans="1:3" x14ac:dyDescent="0.15">
      <c r="A548" t="s">
        <v>395</v>
      </c>
      <c r="B548" t="s">
        <v>513</v>
      </c>
      <c r="C548" t="s">
        <v>374</v>
      </c>
    </row>
    <row r="549" spans="1:3" x14ac:dyDescent="0.15">
      <c r="A549" t="s">
        <v>396</v>
      </c>
      <c r="B549" t="s">
        <v>514</v>
      </c>
      <c r="C549" t="s">
        <v>515</v>
      </c>
    </row>
    <row r="550" spans="1:3" x14ac:dyDescent="0.15">
      <c r="A550" t="s">
        <v>396</v>
      </c>
      <c r="B550" t="s">
        <v>516</v>
      </c>
      <c r="C550" t="s">
        <v>942</v>
      </c>
    </row>
    <row r="551" spans="1:3" x14ac:dyDescent="0.15">
      <c r="A551" t="s">
        <v>396</v>
      </c>
      <c r="B551" t="s">
        <v>517</v>
      </c>
      <c r="C551" t="s">
        <v>518</v>
      </c>
    </row>
    <row r="552" spans="1:3" x14ac:dyDescent="0.15">
      <c r="A552" t="s">
        <v>396</v>
      </c>
      <c r="B552" t="s">
        <v>519</v>
      </c>
      <c r="C552" t="s">
        <v>520</v>
      </c>
    </row>
    <row r="553" spans="1:3" x14ac:dyDescent="0.15">
      <c r="A553" t="s">
        <v>396</v>
      </c>
      <c r="B553" t="s">
        <v>521</v>
      </c>
      <c r="C553" t="s">
        <v>522</v>
      </c>
    </row>
    <row r="554" spans="1:3" x14ac:dyDescent="0.15">
      <c r="A554" t="s">
        <v>396</v>
      </c>
      <c r="B554" t="s">
        <v>523</v>
      </c>
      <c r="C554" t="s">
        <v>765</v>
      </c>
    </row>
    <row r="555" spans="1:3" x14ac:dyDescent="0.15">
      <c r="A555" t="s">
        <v>396</v>
      </c>
      <c r="B555" t="s">
        <v>524</v>
      </c>
      <c r="C555" t="s">
        <v>525</v>
      </c>
    </row>
    <row r="556" spans="1:3" x14ac:dyDescent="0.15">
      <c r="A556" t="s">
        <v>396</v>
      </c>
      <c r="B556" t="s">
        <v>526</v>
      </c>
      <c r="C556" t="s">
        <v>527</v>
      </c>
    </row>
    <row r="557" spans="1:3" x14ac:dyDescent="0.15">
      <c r="A557" t="s">
        <v>396</v>
      </c>
      <c r="B557" t="s">
        <v>528</v>
      </c>
      <c r="C557" t="s">
        <v>766</v>
      </c>
    </row>
    <row r="558" spans="1:3" x14ac:dyDescent="0.15">
      <c r="A558" t="s">
        <v>396</v>
      </c>
      <c r="B558" t="s">
        <v>529</v>
      </c>
      <c r="C558" t="s">
        <v>530</v>
      </c>
    </row>
    <row r="559" spans="1:3" x14ac:dyDescent="0.15">
      <c r="A559" t="s">
        <v>396</v>
      </c>
      <c r="B559" t="s">
        <v>531</v>
      </c>
      <c r="C559" t="s">
        <v>532</v>
      </c>
    </row>
    <row r="560" spans="1:3" x14ac:dyDescent="0.15">
      <c r="A560" t="s">
        <v>396</v>
      </c>
      <c r="B560" t="s">
        <v>533</v>
      </c>
      <c r="C560" t="s">
        <v>534</v>
      </c>
    </row>
    <row r="561" spans="1:3" x14ac:dyDescent="0.15">
      <c r="A561" t="s">
        <v>396</v>
      </c>
      <c r="B561" t="s">
        <v>535</v>
      </c>
      <c r="C561" t="s">
        <v>943</v>
      </c>
    </row>
    <row r="562" spans="1:3" x14ac:dyDescent="0.15">
      <c r="A562" t="s">
        <v>396</v>
      </c>
      <c r="B562" t="s">
        <v>536</v>
      </c>
      <c r="C562" t="s">
        <v>966</v>
      </c>
    </row>
    <row r="563" spans="1:3" x14ac:dyDescent="0.15">
      <c r="A563" t="s">
        <v>396</v>
      </c>
      <c r="B563" t="s">
        <v>967</v>
      </c>
      <c r="C563" t="s">
        <v>322</v>
      </c>
    </row>
    <row r="564" spans="1:3" x14ac:dyDescent="0.15">
      <c r="A564" t="s">
        <v>397</v>
      </c>
      <c r="B564" t="s">
        <v>537</v>
      </c>
      <c r="C564" t="s">
        <v>322</v>
      </c>
    </row>
    <row r="565" spans="1:3" x14ac:dyDescent="0.15">
      <c r="A565" t="s">
        <v>397</v>
      </c>
      <c r="B565" t="s">
        <v>538</v>
      </c>
      <c r="C565" t="s">
        <v>322</v>
      </c>
    </row>
    <row r="566" spans="1:3" x14ac:dyDescent="0.15">
      <c r="A566" t="s">
        <v>397</v>
      </c>
      <c r="B566" t="s">
        <v>539</v>
      </c>
      <c r="C566" t="s">
        <v>322</v>
      </c>
    </row>
    <row r="567" spans="1:3" x14ac:dyDescent="0.15">
      <c r="A567" t="s">
        <v>397</v>
      </c>
      <c r="B567" t="s">
        <v>540</v>
      </c>
      <c r="C567" t="s">
        <v>322</v>
      </c>
    </row>
    <row r="568" spans="1:3" x14ac:dyDescent="0.15">
      <c r="A568" t="s">
        <v>397</v>
      </c>
      <c r="B568" t="s">
        <v>541</v>
      </c>
      <c r="C568" t="s">
        <v>322</v>
      </c>
    </row>
    <row r="569" spans="1:3" x14ac:dyDescent="0.15">
      <c r="A569" t="s">
        <v>397</v>
      </c>
      <c r="B569" t="s">
        <v>542</v>
      </c>
      <c r="C569" t="s">
        <v>322</v>
      </c>
    </row>
    <row r="570" spans="1:3" x14ac:dyDescent="0.15">
      <c r="A570" t="s">
        <v>397</v>
      </c>
      <c r="B570" t="s">
        <v>543</v>
      </c>
      <c r="C570" t="s">
        <v>322</v>
      </c>
    </row>
    <row r="571" spans="1:3" x14ac:dyDescent="0.15">
      <c r="A571" t="s">
        <v>397</v>
      </c>
      <c r="B571" t="s">
        <v>544</v>
      </c>
      <c r="C571" t="s">
        <v>322</v>
      </c>
    </row>
    <row r="572" spans="1:3" x14ac:dyDescent="0.15">
      <c r="A572" t="s">
        <v>397</v>
      </c>
      <c r="B572" t="s">
        <v>545</v>
      </c>
      <c r="C572" t="s">
        <v>322</v>
      </c>
    </row>
    <row r="573" spans="1:3" x14ac:dyDescent="0.15">
      <c r="A573" t="s">
        <v>397</v>
      </c>
      <c r="B573" t="s">
        <v>546</v>
      </c>
      <c r="C573" t="s">
        <v>322</v>
      </c>
    </row>
    <row r="574" spans="1:3" x14ac:dyDescent="0.15">
      <c r="A574" t="s">
        <v>397</v>
      </c>
      <c r="B574" t="s">
        <v>547</v>
      </c>
      <c r="C574" t="s">
        <v>322</v>
      </c>
    </row>
    <row r="575" spans="1:3" x14ac:dyDescent="0.15">
      <c r="A575" t="s">
        <v>397</v>
      </c>
      <c r="B575" t="s">
        <v>548</v>
      </c>
      <c r="C575" t="s">
        <v>322</v>
      </c>
    </row>
    <row r="576" spans="1:3" x14ac:dyDescent="0.15">
      <c r="A576" t="s">
        <v>397</v>
      </c>
      <c r="B576" t="s">
        <v>549</v>
      </c>
      <c r="C576" t="s">
        <v>322</v>
      </c>
    </row>
    <row r="577" spans="1:3" x14ac:dyDescent="0.15">
      <c r="A577" t="s">
        <v>397</v>
      </c>
      <c r="B577" t="s">
        <v>550</v>
      </c>
      <c r="C577" t="s">
        <v>322</v>
      </c>
    </row>
    <row r="578" spans="1:3" x14ac:dyDescent="0.15">
      <c r="A578" t="s">
        <v>585</v>
      </c>
      <c r="B578" t="s">
        <v>767</v>
      </c>
      <c r="C578" t="s">
        <v>322</v>
      </c>
    </row>
    <row r="579" spans="1:3" x14ac:dyDescent="0.15">
      <c r="A579" t="s">
        <v>585</v>
      </c>
      <c r="B579" t="s">
        <v>768</v>
      </c>
      <c r="C579" t="s">
        <v>322</v>
      </c>
    </row>
    <row r="580" spans="1:3" x14ac:dyDescent="0.15">
      <c r="A580" t="s">
        <v>585</v>
      </c>
      <c r="B580" t="s">
        <v>769</v>
      </c>
      <c r="C580" t="s">
        <v>322</v>
      </c>
    </row>
    <row r="581" spans="1:3" x14ac:dyDescent="0.15">
      <c r="A581" t="s">
        <v>585</v>
      </c>
      <c r="B581" t="s">
        <v>770</v>
      </c>
      <c r="C581" t="s">
        <v>322</v>
      </c>
    </row>
    <row r="582" spans="1:3" x14ac:dyDescent="0.15">
      <c r="A582" t="s">
        <v>585</v>
      </c>
      <c r="B582" t="s">
        <v>771</v>
      </c>
      <c r="C582" t="s">
        <v>322</v>
      </c>
    </row>
    <row r="583" spans="1:3" x14ac:dyDescent="0.15">
      <c r="A583" t="s">
        <v>585</v>
      </c>
      <c r="B583" t="s">
        <v>772</v>
      </c>
      <c r="C583" t="s">
        <v>322</v>
      </c>
    </row>
    <row r="584" spans="1:3" x14ac:dyDescent="0.15">
      <c r="A584" t="s">
        <v>585</v>
      </c>
      <c r="B584" t="s">
        <v>773</v>
      </c>
      <c r="C584" t="s">
        <v>322</v>
      </c>
    </row>
    <row r="585" spans="1:3" x14ac:dyDescent="0.15">
      <c r="A585" t="s">
        <v>585</v>
      </c>
      <c r="B585" t="s">
        <v>774</v>
      </c>
      <c r="C585" t="s">
        <v>322</v>
      </c>
    </row>
    <row r="586" spans="1:3" x14ac:dyDescent="0.15">
      <c r="A586" t="s">
        <v>585</v>
      </c>
      <c r="B586" t="s">
        <v>775</v>
      </c>
      <c r="C586" t="s">
        <v>322</v>
      </c>
    </row>
    <row r="587" spans="1:3" x14ac:dyDescent="0.15">
      <c r="A587" t="s">
        <v>585</v>
      </c>
      <c r="B587" t="s">
        <v>776</v>
      </c>
      <c r="C587" t="s">
        <v>322</v>
      </c>
    </row>
    <row r="588" spans="1:3" x14ac:dyDescent="0.15">
      <c r="A588" t="s">
        <v>585</v>
      </c>
      <c r="B588" t="s">
        <v>777</v>
      </c>
      <c r="C588" t="s">
        <v>322</v>
      </c>
    </row>
    <row r="589" spans="1:3" x14ac:dyDescent="0.15">
      <c r="A589" t="s">
        <v>585</v>
      </c>
      <c r="B589" t="s">
        <v>778</v>
      </c>
      <c r="C589" t="s">
        <v>322</v>
      </c>
    </row>
    <row r="590" spans="1:3" x14ac:dyDescent="0.15">
      <c r="A590" t="s">
        <v>585</v>
      </c>
      <c r="B590" t="s">
        <v>779</v>
      </c>
      <c r="C590" t="s">
        <v>322</v>
      </c>
    </row>
    <row r="591" spans="1:3" x14ac:dyDescent="0.15">
      <c r="A591" t="s">
        <v>585</v>
      </c>
      <c r="B591" t="s">
        <v>780</v>
      </c>
      <c r="C591" t="s">
        <v>322</v>
      </c>
    </row>
    <row r="592" spans="1:3" x14ac:dyDescent="0.15">
      <c r="A592" t="s">
        <v>585</v>
      </c>
      <c r="B592" t="s">
        <v>781</v>
      </c>
      <c r="C592" t="s">
        <v>322</v>
      </c>
    </row>
    <row r="593" spans="1:3" x14ac:dyDescent="0.15">
      <c r="A593" t="s">
        <v>585</v>
      </c>
      <c r="B593" t="s">
        <v>782</v>
      </c>
      <c r="C593" t="s">
        <v>322</v>
      </c>
    </row>
    <row r="594" spans="1:3" x14ac:dyDescent="0.15">
      <c r="A594" t="s">
        <v>585</v>
      </c>
      <c r="B594" t="s">
        <v>783</v>
      </c>
      <c r="C594" t="s">
        <v>322</v>
      </c>
    </row>
    <row r="595" spans="1:3" x14ac:dyDescent="0.15">
      <c r="A595" t="s">
        <v>585</v>
      </c>
      <c r="B595" t="s">
        <v>784</v>
      </c>
      <c r="C595" t="s">
        <v>322</v>
      </c>
    </row>
    <row r="596" spans="1:3" x14ac:dyDescent="0.15">
      <c r="A596" t="s">
        <v>585</v>
      </c>
      <c r="B596" t="s">
        <v>785</v>
      </c>
      <c r="C596" t="s">
        <v>322</v>
      </c>
    </row>
    <row r="597" spans="1:3" x14ac:dyDescent="0.15">
      <c r="A597" t="s">
        <v>585</v>
      </c>
      <c r="B597" t="s">
        <v>786</v>
      </c>
      <c r="C597" t="s">
        <v>322</v>
      </c>
    </row>
    <row r="598" spans="1:3" x14ac:dyDescent="0.15">
      <c r="A598" t="s">
        <v>585</v>
      </c>
      <c r="B598" t="s">
        <v>787</v>
      </c>
      <c r="C598" t="s">
        <v>322</v>
      </c>
    </row>
    <row r="599" spans="1:3" x14ac:dyDescent="0.15">
      <c r="A599" t="s">
        <v>585</v>
      </c>
      <c r="B599" t="s">
        <v>788</v>
      </c>
      <c r="C599" t="s">
        <v>322</v>
      </c>
    </row>
    <row r="600" spans="1:3" x14ac:dyDescent="0.15">
      <c r="A600" t="s">
        <v>585</v>
      </c>
      <c r="B600" t="s">
        <v>789</v>
      </c>
      <c r="C600" t="s">
        <v>322</v>
      </c>
    </row>
    <row r="601" spans="1:3" x14ac:dyDescent="0.15">
      <c r="A601" t="s">
        <v>585</v>
      </c>
      <c r="B601" t="s">
        <v>790</v>
      </c>
      <c r="C601" t="s">
        <v>322</v>
      </c>
    </row>
    <row r="602" spans="1:3" x14ac:dyDescent="0.15">
      <c r="A602" t="s">
        <v>585</v>
      </c>
      <c r="B602" t="s">
        <v>791</v>
      </c>
      <c r="C602" t="s">
        <v>322</v>
      </c>
    </row>
    <row r="603" spans="1:3" x14ac:dyDescent="0.15">
      <c r="A603" t="s">
        <v>586</v>
      </c>
      <c r="B603" t="s">
        <v>792</v>
      </c>
      <c r="C603" t="s">
        <v>515</v>
      </c>
    </row>
    <row r="604" spans="1:3" x14ac:dyDescent="0.15">
      <c r="A604" t="s">
        <v>586</v>
      </c>
      <c r="B604" t="s">
        <v>793</v>
      </c>
      <c r="C604" t="s">
        <v>942</v>
      </c>
    </row>
    <row r="605" spans="1:3" x14ac:dyDescent="0.15">
      <c r="A605" t="s">
        <v>586</v>
      </c>
      <c r="B605" t="s">
        <v>794</v>
      </c>
      <c r="C605" t="s">
        <v>518</v>
      </c>
    </row>
    <row r="606" spans="1:3" x14ac:dyDescent="0.15">
      <c r="A606" t="s">
        <v>586</v>
      </c>
      <c r="B606" t="s">
        <v>795</v>
      </c>
      <c r="C606" t="s">
        <v>520</v>
      </c>
    </row>
    <row r="607" spans="1:3" x14ac:dyDescent="0.15">
      <c r="A607" t="s">
        <v>586</v>
      </c>
      <c r="B607" t="s">
        <v>796</v>
      </c>
      <c r="C607" t="s">
        <v>522</v>
      </c>
    </row>
    <row r="608" spans="1:3" x14ac:dyDescent="0.15">
      <c r="A608" t="s">
        <v>586</v>
      </c>
      <c r="B608" t="s">
        <v>797</v>
      </c>
      <c r="C608" t="s">
        <v>765</v>
      </c>
    </row>
    <row r="609" spans="1:3" x14ac:dyDescent="0.15">
      <c r="A609" t="s">
        <v>586</v>
      </c>
      <c r="B609" t="s">
        <v>798</v>
      </c>
      <c r="C609" t="s">
        <v>525</v>
      </c>
    </row>
    <row r="610" spans="1:3" x14ac:dyDescent="0.15">
      <c r="A610" t="s">
        <v>586</v>
      </c>
      <c r="B610" t="s">
        <v>799</v>
      </c>
      <c r="C610" t="s">
        <v>527</v>
      </c>
    </row>
    <row r="611" spans="1:3" x14ac:dyDescent="0.15">
      <c r="A611" t="s">
        <v>586</v>
      </c>
      <c r="B611" t="s">
        <v>800</v>
      </c>
      <c r="C611" t="s">
        <v>766</v>
      </c>
    </row>
    <row r="612" spans="1:3" x14ac:dyDescent="0.15">
      <c r="A612" t="s">
        <v>586</v>
      </c>
      <c r="B612" t="s">
        <v>801</v>
      </c>
      <c r="C612" t="s">
        <v>530</v>
      </c>
    </row>
    <row r="613" spans="1:3" x14ac:dyDescent="0.15">
      <c r="A613" t="s">
        <v>586</v>
      </c>
      <c r="B613" t="s">
        <v>802</v>
      </c>
      <c r="C613" t="s">
        <v>532</v>
      </c>
    </row>
    <row r="614" spans="1:3" x14ac:dyDescent="0.15">
      <c r="A614" t="s">
        <v>586</v>
      </c>
      <c r="B614" t="s">
        <v>803</v>
      </c>
      <c r="C614" t="s">
        <v>534</v>
      </c>
    </row>
    <row r="615" spans="1:3" x14ac:dyDescent="0.15">
      <c r="A615" t="s">
        <v>586</v>
      </c>
      <c r="B615" t="s">
        <v>804</v>
      </c>
      <c r="C615" t="s">
        <v>943</v>
      </c>
    </row>
    <row r="616" spans="1:3" x14ac:dyDescent="0.15">
      <c r="A616" t="s">
        <v>586</v>
      </c>
      <c r="B616" t="s">
        <v>805</v>
      </c>
      <c r="C616" t="s">
        <v>966</v>
      </c>
    </row>
    <row r="617" spans="1:3" x14ac:dyDescent="0.15">
      <c r="A617" t="s">
        <v>589</v>
      </c>
      <c r="B617" t="s">
        <v>1042</v>
      </c>
      <c r="C617" t="s">
        <v>1080</v>
      </c>
    </row>
    <row r="618" spans="1:3" x14ac:dyDescent="0.15">
      <c r="A618" t="s">
        <v>590</v>
      </c>
      <c r="B618" t="s">
        <v>968</v>
      </c>
      <c r="C618" t="s">
        <v>970</v>
      </c>
    </row>
    <row r="619" spans="1:3" x14ac:dyDescent="0.15">
      <c r="A619" t="s">
        <v>591</v>
      </c>
      <c r="B619" t="s">
        <v>969</v>
      </c>
      <c r="C619" t="s">
        <v>19</v>
      </c>
    </row>
    <row r="620" spans="1:3" x14ac:dyDescent="0.15">
      <c r="A620" t="s">
        <v>592</v>
      </c>
      <c r="B620" t="s">
        <v>806</v>
      </c>
      <c r="C620" t="s">
        <v>807</v>
      </c>
    </row>
    <row r="621" spans="1:3" x14ac:dyDescent="0.15">
      <c r="A621" t="s">
        <v>592</v>
      </c>
      <c r="B621" t="s">
        <v>808</v>
      </c>
      <c r="C621" t="s">
        <v>366</v>
      </c>
    </row>
    <row r="622" spans="1:3" x14ac:dyDescent="0.15">
      <c r="A622" t="s">
        <v>592</v>
      </c>
      <c r="B622" t="s">
        <v>809</v>
      </c>
      <c r="C622" t="s">
        <v>810</v>
      </c>
    </row>
    <row r="623" spans="1:3" x14ac:dyDescent="0.15">
      <c r="A623" t="s">
        <v>592</v>
      </c>
      <c r="B623" t="s">
        <v>811</v>
      </c>
      <c r="C623" t="s">
        <v>551</v>
      </c>
    </row>
    <row r="624" spans="1:3" x14ac:dyDescent="0.15">
      <c r="A624" t="s">
        <v>592</v>
      </c>
      <c r="B624" t="s">
        <v>812</v>
      </c>
      <c r="C624" t="s">
        <v>361</v>
      </c>
    </row>
    <row r="625" spans="1:3" x14ac:dyDescent="0.15">
      <c r="A625" t="s">
        <v>592</v>
      </c>
      <c r="B625" t="s">
        <v>813</v>
      </c>
      <c r="C625" t="s">
        <v>365</v>
      </c>
    </row>
    <row r="626" spans="1:3" x14ac:dyDescent="0.15">
      <c r="A626" t="s">
        <v>592</v>
      </c>
      <c r="B626" t="s">
        <v>814</v>
      </c>
      <c r="C626" t="s">
        <v>335</v>
      </c>
    </row>
    <row r="627" spans="1:3" x14ac:dyDescent="0.15">
      <c r="A627" t="s">
        <v>592</v>
      </c>
      <c r="B627" t="s">
        <v>815</v>
      </c>
      <c r="C627" t="s">
        <v>330</v>
      </c>
    </row>
    <row r="628" spans="1:3" x14ac:dyDescent="0.15">
      <c r="A628" t="s">
        <v>592</v>
      </c>
      <c r="B628" t="s">
        <v>816</v>
      </c>
      <c r="C628" t="s">
        <v>817</v>
      </c>
    </row>
    <row r="629" spans="1:3" x14ac:dyDescent="0.15">
      <c r="A629" t="s">
        <v>592</v>
      </c>
      <c r="B629" t="s">
        <v>818</v>
      </c>
      <c r="C629" t="s">
        <v>363</v>
      </c>
    </row>
    <row r="630" spans="1:3" x14ac:dyDescent="0.15">
      <c r="A630" t="s">
        <v>592</v>
      </c>
      <c r="B630" t="s">
        <v>819</v>
      </c>
      <c r="C630" t="s">
        <v>322</v>
      </c>
    </row>
    <row r="631" spans="1:3" x14ac:dyDescent="0.15">
      <c r="A631" t="s">
        <v>592</v>
      </c>
      <c r="B631" t="s">
        <v>820</v>
      </c>
      <c r="C631" t="s">
        <v>322</v>
      </c>
    </row>
    <row r="632" spans="1:3" x14ac:dyDescent="0.15">
      <c r="A632" t="s">
        <v>592</v>
      </c>
      <c r="B632" t="s">
        <v>821</v>
      </c>
      <c r="C632" t="s">
        <v>322</v>
      </c>
    </row>
    <row r="633" spans="1:3" x14ac:dyDescent="0.15">
      <c r="A633" t="s">
        <v>592</v>
      </c>
      <c r="B633" t="s">
        <v>822</v>
      </c>
      <c r="C633" t="s">
        <v>322</v>
      </c>
    </row>
    <row r="634" spans="1:3" x14ac:dyDescent="0.15">
      <c r="A634" t="s">
        <v>592</v>
      </c>
      <c r="B634" t="s">
        <v>823</v>
      </c>
      <c r="C634" t="s">
        <v>322</v>
      </c>
    </row>
    <row r="635" spans="1:3" x14ac:dyDescent="0.15">
      <c r="A635" t="s">
        <v>592</v>
      </c>
      <c r="B635" t="s">
        <v>824</v>
      </c>
      <c r="C635" t="s">
        <v>322</v>
      </c>
    </row>
    <row r="636" spans="1:3" x14ac:dyDescent="0.15">
      <c r="A636" t="s">
        <v>592</v>
      </c>
      <c r="B636" t="s">
        <v>825</v>
      </c>
      <c r="C636" t="s">
        <v>322</v>
      </c>
    </row>
    <row r="637" spans="1:3" x14ac:dyDescent="0.15">
      <c r="A637" t="s">
        <v>592</v>
      </c>
      <c r="B637" t="s">
        <v>826</v>
      </c>
      <c r="C637" t="s">
        <v>322</v>
      </c>
    </row>
    <row r="638" spans="1:3" x14ac:dyDescent="0.15">
      <c r="A638" t="s">
        <v>592</v>
      </c>
      <c r="B638" t="s">
        <v>827</v>
      </c>
      <c r="C638" t="s">
        <v>322</v>
      </c>
    </row>
    <row r="639" spans="1:3" x14ac:dyDescent="0.15">
      <c r="A639" t="s">
        <v>592</v>
      </c>
      <c r="B639" t="s">
        <v>828</v>
      </c>
      <c r="C639" t="s">
        <v>322</v>
      </c>
    </row>
    <row r="640" spans="1:3" x14ac:dyDescent="0.15">
      <c r="A640" t="s">
        <v>592</v>
      </c>
      <c r="B640" t="s">
        <v>829</v>
      </c>
      <c r="C640" t="s">
        <v>322</v>
      </c>
    </row>
    <row r="641" spans="1:3" x14ac:dyDescent="0.15">
      <c r="A641" t="s">
        <v>592</v>
      </c>
      <c r="B641" t="s">
        <v>830</v>
      </c>
      <c r="C641" t="s">
        <v>322</v>
      </c>
    </row>
    <row r="642" spans="1:3" x14ac:dyDescent="0.15">
      <c r="A642" t="s">
        <v>592</v>
      </c>
      <c r="B642" t="s">
        <v>831</v>
      </c>
      <c r="C642" t="s">
        <v>322</v>
      </c>
    </row>
    <row r="643" spans="1:3" x14ac:dyDescent="0.15">
      <c r="A643" t="s">
        <v>592</v>
      </c>
      <c r="B643" t="s">
        <v>832</v>
      </c>
      <c r="C643" t="s">
        <v>322</v>
      </c>
    </row>
    <row r="644" spans="1:3" x14ac:dyDescent="0.15">
      <c r="A644" t="s">
        <v>592</v>
      </c>
      <c r="B644" t="s">
        <v>833</v>
      </c>
      <c r="C644" t="s">
        <v>322</v>
      </c>
    </row>
    <row r="645" spans="1:3" x14ac:dyDescent="0.15">
      <c r="A645" t="s">
        <v>592</v>
      </c>
      <c r="B645" t="s">
        <v>834</v>
      </c>
      <c r="C645" t="s">
        <v>322</v>
      </c>
    </row>
    <row r="646" spans="1:3" x14ac:dyDescent="0.15">
      <c r="A646" t="s">
        <v>592</v>
      </c>
      <c r="B646" t="s">
        <v>835</v>
      </c>
      <c r="C646" t="s">
        <v>322</v>
      </c>
    </row>
    <row r="647" spans="1:3" x14ac:dyDescent="0.15">
      <c r="A647" t="s">
        <v>592</v>
      </c>
      <c r="B647" t="s">
        <v>836</v>
      </c>
      <c r="C647" t="s">
        <v>322</v>
      </c>
    </row>
    <row r="648" spans="1:3" x14ac:dyDescent="0.15">
      <c r="A648" t="s">
        <v>592</v>
      </c>
      <c r="B648" t="s">
        <v>837</v>
      </c>
      <c r="C648" t="s">
        <v>322</v>
      </c>
    </row>
    <row r="649" spans="1:3" x14ac:dyDescent="0.15">
      <c r="A649" t="s">
        <v>592</v>
      </c>
      <c r="B649" t="s">
        <v>838</v>
      </c>
      <c r="C649" t="s">
        <v>322</v>
      </c>
    </row>
    <row r="650" spans="1:3" x14ac:dyDescent="0.15">
      <c r="A650" t="s">
        <v>592</v>
      </c>
      <c r="B650" t="s">
        <v>839</v>
      </c>
      <c r="C650" t="s">
        <v>322</v>
      </c>
    </row>
    <row r="651" spans="1:3" x14ac:dyDescent="0.15">
      <c r="A651" t="s">
        <v>592</v>
      </c>
      <c r="B651" t="s">
        <v>840</v>
      </c>
      <c r="C651" t="s">
        <v>322</v>
      </c>
    </row>
    <row r="652" spans="1:3" x14ac:dyDescent="0.15">
      <c r="A652" t="s">
        <v>592</v>
      </c>
      <c r="B652" t="s">
        <v>841</v>
      </c>
      <c r="C652" t="s">
        <v>322</v>
      </c>
    </row>
    <row r="653" spans="1:3" x14ac:dyDescent="0.15">
      <c r="A653" t="s">
        <v>592</v>
      </c>
      <c r="B653" t="s">
        <v>842</v>
      </c>
      <c r="C653" t="s">
        <v>322</v>
      </c>
    </row>
    <row r="654" spans="1:3" x14ac:dyDescent="0.15">
      <c r="A654" t="s">
        <v>592</v>
      </c>
      <c r="B654" t="s">
        <v>843</v>
      </c>
      <c r="C654" t="s">
        <v>322</v>
      </c>
    </row>
    <row r="655" spans="1:3" x14ac:dyDescent="0.15">
      <c r="A655" t="s">
        <v>594</v>
      </c>
      <c r="B655" t="s">
        <v>844</v>
      </c>
      <c r="C655" t="s">
        <v>845</v>
      </c>
    </row>
    <row r="656" spans="1:3" x14ac:dyDescent="0.15">
      <c r="A656" t="s">
        <v>594</v>
      </c>
      <c r="B656" t="s">
        <v>846</v>
      </c>
      <c r="C656" t="s">
        <v>847</v>
      </c>
    </row>
    <row r="657" spans="1:3" x14ac:dyDescent="0.15">
      <c r="A657" t="s">
        <v>594</v>
      </c>
      <c r="B657" t="s">
        <v>848</v>
      </c>
      <c r="C657" t="s">
        <v>849</v>
      </c>
    </row>
    <row r="658" spans="1:3" x14ac:dyDescent="0.15">
      <c r="A658" t="s">
        <v>594</v>
      </c>
      <c r="B658" t="s">
        <v>850</v>
      </c>
      <c r="C658" t="s">
        <v>851</v>
      </c>
    </row>
    <row r="659" spans="1:3" x14ac:dyDescent="0.15">
      <c r="A659" t="s">
        <v>594</v>
      </c>
      <c r="B659" t="s">
        <v>852</v>
      </c>
      <c r="C659" t="s">
        <v>853</v>
      </c>
    </row>
    <row r="660" spans="1:3" x14ac:dyDescent="0.15">
      <c r="A660" t="s">
        <v>594</v>
      </c>
      <c r="B660" t="s">
        <v>854</v>
      </c>
      <c r="C660" t="s">
        <v>949</v>
      </c>
    </row>
    <row r="661" spans="1:3" x14ac:dyDescent="0.15">
      <c r="A661" t="s">
        <v>594</v>
      </c>
      <c r="B661" t="s">
        <v>855</v>
      </c>
      <c r="C661" t="s">
        <v>322</v>
      </c>
    </row>
    <row r="662" spans="1:3" x14ac:dyDescent="0.15">
      <c r="A662" t="s">
        <v>594</v>
      </c>
      <c r="B662" t="s">
        <v>856</v>
      </c>
      <c r="C662" t="s">
        <v>322</v>
      </c>
    </row>
    <row r="663" spans="1:3" x14ac:dyDescent="0.15">
      <c r="A663" t="s">
        <v>594</v>
      </c>
      <c r="B663" t="s">
        <v>857</v>
      </c>
      <c r="C663" t="s">
        <v>322</v>
      </c>
    </row>
    <row r="664" spans="1:3" x14ac:dyDescent="0.15">
      <c r="A664" t="s">
        <v>594</v>
      </c>
      <c r="B664" t="s">
        <v>858</v>
      </c>
      <c r="C664" t="s">
        <v>322</v>
      </c>
    </row>
    <row r="665" spans="1:3" x14ac:dyDescent="0.15">
      <c r="A665" t="s">
        <v>594</v>
      </c>
      <c r="B665" t="s">
        <v>859</v>
      </c>
      <c r="C665" t="s">
        <v>322</v>
      </c>
    </row>
    <row r="666" spans="1:3" x14ac:dyDescent="0.15">
      <c r="A666" t="s">
        <v>594</v>
      </c>
      <c r="B666" t="s">
        <v>860</v>
      </c>
      <c r="C666" t="s">
        <v>322</v>
      </c>
    </row>
    <row r="667" spans="1:3" x14ac:dyDescent="0.15">
      <c r="A667" t="s">
        <v>594</v>
      </c>
      <c r="B667" t="s">
        <v>861</v>
      </c>
      <c r="C667" t="s">
        <v>322</v>
      </c>
    </row>
    <row r="668" spans="1:3" x14ac:dyDescent="0.15">
      <c r="A668" t="s">
        <v>594</v>
      </c>
      <c r="B668" t="s">
        <v>862</v>
      </c>
      <c r="C668" t="s">
        <v>322</v>
      </c>
    </row>
    <row r="669" spans="1:3" x14ac:dyDescent="0.15">
      <c r="A669" t="s">
        <v>594</v>
      </c>
      <c r="B669" t="s">
        <v>863</v>
      </c>
      <c r="C669" t="s">
        <v>322</v>
      </c>
    </row>
    <row r="670" spans="1:3" x14ac:dyDescent="0.15">
      <c r="A670" t="s">
        <v>594</v>
      </c>
      <c r="B670" t="s">
        <v>864</v>
      </c>
      <c r="C670" t="s">
        <v>322</v>
      </c>
    </row>
    <row r="671" spans="1:3" x14ac:dyDescent="0.15">
      <c r="A671" t="s">
        <v>594</v>
      </c>
      <c r="B671" t="s">
        <v>865</v>
      </c>
      <c r="C671" t="s">
        <v>322</v>
      </c>
    </row>
    <row r="672" spans="1:3" x14ac:dyDescent="0.15">
      <c r="A672" t="s">
        <v>594</v>
      </c>
      <c r="B672" t="s">
        <v>866</v>
      </c>
      <c r="C672" t="s">
        <v>322</v>
      </c>
    </row>
    <row r="673" spans="1:3" x14ac:dyDescent="0.15">
      <c r="A673" t="s">
        <v>594</v>
      </c>
      <c r="B673" t="s">
        <v>867</v>
      </c>
      <c r="C673" t="s">
        <v>322</v>
      </c>
    </row>
    <row r="674" spans="1:3" x14ac:dyDescent="0.15">
      <c r="A674" t="s">
        <v>594</v>
      </c>
      <c r="B674" t="s">
        <v>868</v>
      </c>
      <c r="C674" t="s">
        <v>322</v>
      </c>
    </row>
    <row r="675" spans="1:3" x14ac:dyDescent="0.15">
      <c r="A675" t="s">
        <v>594</v>
      </c>
      <c r="B675" t="s">
        <v>869</v>
      </c>
      <c r="C675" t="s">
        <v>322</v>
      </c>
    </row>
    <row r="676" spans="1:3" x14ac:dyDescent="0.15">
      <c r="A676" t="s">
        <v>594</v>
      </c>
      <c r="B676" t="s">
        <v>870</v>
      </c>
      <c r="C676" t="s">
        <v>322</v>
      </c>
    </row>
    <row r="677" spans="1:3" x14ac:dyDescent="0.15">
      <c r="A677" t="s">
        <v>594</v>
      </c>
      <c r="B677" t="s">
        <v>871</v>
      </c>
      <c r="C677" t="s">
        <v>322</v>
      </c>
    </row>
    <row r="678" spans="1:3" x14ac:dyDescent="0.15">
      <c r="A678" t="s">
        <v>594</v>
      </c>
      <c r="B678" t="s">
        <v>872</v>
      </c>
      <c r="C678" t="s">
        <v>322</v>
      </c>
    </row>
    <row r="679" spans="1:3" x14ac:dyDescent="0.15">
      <c r="A679" t="s">
        <v>594</v>
      </c>
      <c r="B679" t="s">
        <v>873</v>
      </c>
      <c r="C679" t="s">
        <v>322</v>
      </c>
    </row>
    <row r="680" spans="1:3" x14ac:dyDescent="0.15">
      <c r="A680" t="s">
        <v>594</v>
      </c>
      <c r="B680" t="s">
        <v>874</v>
      </c>
      <c r="C680" t="s">
        <v>322</v>
      </c>
    </row>
    <row r="681" spans="1:3" x14ac:dyDescent="0.15">
      <c r="A681" t="s">
        <v>594</v>
      </c>
      <c r="B681" t="s">
        <v>875</v>
      </c>
      <c r="C681" t="s">
        <v>322</v>
      </c>
    </row>
    <row r="682" spans="1:3" x14ac:dyDescent="0.15">
      <c r="A682" t="s">
        <v>594</v>
      </c>
      <c r="B682" t="s">
        <v>876</v>
      </c>
      <c r="C682" t="s">
        <v>322</v>
      </c>
    </row>
    <row r="683" spans="1:3" x14ac:dyDescent="0.15">
      <c r="A683" t="s">
        <v>594</v>
      </c>
      <c r="B683" t="s">
        <v>877</v>
      </c>
      <c r="C683" t="s">
        <v>322</v>
      </c>
    </row>
    <row r="684" spans="1:3" x14ac:dyDescent="0.15">
      <c r="A684" t="s">
        <v>594</v>
      </c>
      <c r="B684" t="s">
        <v>878</v>
      </c>
      <c r="C684" t="s">
        <v>322</v>
      </c>
    </row>
    <row r="685" spans="1:3" x14ac:dyDescent="0.15">
      <c r="A685" t="s">
        <v>594</v>
      </c>
      <c r="B685" t="s">
        <v>879</v>
      </c>
      <c r="C685" t="s">
        <v>322</v>
      </c>
    </row>
    <row r="686" spans="1:3" x14ac:dyDescent="0.15">
      <c r="A686" t="s">
        <v>594</v>
      </c>
      <c r="B686" t="s">
        <v>880</v>
      </c>
      <c r="C686" t="s">
        <v>322</v>
      </c>
    </row>
    <row r="687" spans="1:3" x14ac:dyDescent="0.15">
      <c r="A687" t="s">
        <v>594</v>
      </c>
      <c r="B687" t="s">
        <v>881</v>
      </c>
      <c r="C687" t="s">
        <v>322</v>
      </c>
    </row>
    <row r="688" spans="1:3" x14ac:dyDescent="0.15">
      <c r="A688" t="s">
        <v>594</v>
      </c>
      <c r="B688" t="s">
        <v>882</v>
      </c>
      <c r="C688" t="s">
        <v>322</v>
      </c>
    </row>
    <row r="689" spans="1:3" x14ac:dyDescent="0.15">
      <c r="A689" t="s">
        <v>594</v>
      </c>
      <c r="B689" t="s">
        <v>883</v>
      </c>
      <c r="C689" t="s">
        <v>322</v>
      </c>
    </row>
    <row r="690" spans="1:3" x14ac:dyDescent="0.15">
      <c r="A690" t="s">
        <v>39</v>
      </c>
      <c r="B690" t="s">
        <v>235</v>
      </c>
      <c r="C690" t="s">
        <v>956</v>
      </c>
    </row>
    <row r="691" spans="1:3" x14ac:dyDescent="0.15">
      <c r="A691" t="s">
        <v>39</v>
      </c>
      <c r="B691" t="s">
        <v>236</v>
      </c>
      <c r="C691" t="s">
        <v>913</v>
      </c>
    </row>
    <row r="692" spans="1:3" x14ac:dyDescent="0.15">
      <c r="A692" t="s">
        <v>39</v>
      </c>
      <c r="B692" t="s">
        <v>237</v>
      </c>
      <c r="C692" t="s">
        <v>353</v>
      </c>
    </row>
    <row r="693" spans="1:3" x14ac:dyDescent="0.15">
      <c r="A693" t="s">
        <v>39</v>
      </c>
      <c r="B693" t="s">
        <v>238</v>
      </c>
      <c r="C693" t="s">
        <v>357</v>
      </c>
    </row>
    <row r="694" spans="1:3" x14ac:dyDescent="0.15">
      <c r="A694" t="s">
        <v>39</v>
      </c>
      <c r="B694" t="s">
        <v>239</v>
      </c>
      <c r="C694" t="s">
        <v>947</v>
      </c>
    </row>
    <row r="695" spans="1:3" x14ac:dyDescent="0.15">
      <c r="A695" t="s">
        <v>39</v>
      </c>
      <c r="B695" t="s">
        <v>240</v>
      </c>
      <c r="C695" t="s">
        <v>1045</v>
      </c>
    </row>
    <row r="696" spans="1:3" x14ac:dyDescent="0.15">
      <c r="A696" t="s">
        <v>39</v>
      </c>
      <c r="B696" t="s">
        <v>241</v>
      </c>
      <c r="C696" t="s">
        <v>354</v>
      </c>
    </row>
    <row r="697" spans="1:3" x14ac:dyDescent="0.15">
      <c r="A697" t="s">
        <v>39</v>
      </c>
      <c r="B697" t="s">
        <v>242</v>
      </c>
      <c r="C697" t="s">
        <v>358</v>
      </c>
    </row>
    <row r="698" spans="1:3" x14ac:dyDescent="0.15">
      <c r="A698" t="s">
        <v>39</v>
      </c>
      <c r="B698" t="s">
        <v>243</v>
      </c>
      <c r="C698" t="s">
        <v>359</v>
      </c>
    </row>
    <row r="699" spans="1:3" x14ac:dyDescent="0.15">
      <c r="A699" t="s">
        <v>39</v>
      </c>
      <c r="B699" t="s">
        <v>244</v>
      </c>
      <c r="C699" t="s">
        <v>1046</v>
      </c>
    </row>
    <row r="700" spans="1:3" x14ac:dyDescent="0.15">
      <c r="A700" t="s">
        <v>39</v>
      </c>
      <c r="B700" t="s">
        <v>245</v>
      </c>
      <c r="C700" t="s">
        <v>367</v>
      </c>
    </row>
    <row r="701" spans="1:3" x14ac:dyDescent="0.15">
      <c r="A701" t="s">
        <v>39</v>
      </c>
      <c r="B701" t="s">
        <v>246</v>
      </c>
      <c r="C701" t="s">
        <v>356</v>
      </c>
    </row>
    <row r="702" spans="1:3" x14ac:dyDescent="0.15">
      <c r="A702" t="s">
        <v>39</v>
      </c>
      <c r="B702" t="s">
        <v>247</v>
      </c>
      <c r="C702" t="s">
        <v>363</v>
      </c>
    </row>
    <row r="703" spans="1:3" x14ac:dyDescent="0.15">
      <c r="A703" t="s">
        <v>39</v>
      </c>
      <c r="B703" t="s">
        <v>248</v>
      </c>
      <c r="C703" t="s">
        <v>365</v>
      </c>
    </row>
    <row r="704" spans="1:3" x14ac:dyDescent="0.15">
      <c r="A704" t="s">
        <v>39</v>
      </c>
      <c r="B704" t="s">
        <v>249</v>
      </c>
      <c r="C704" t="s">
        <v>355</v>
      </c>
    </row>
    <row r="705" spans="1:3" x14ac:dyDescent="0.15">
      <c r="A705" t="s">
        <v>39</v>
      </c>
      <c r="B705" t="s">
        <v>250</v>
      </c>
      <c r="C705" t="s">
        <v>338</v>
      </c>
    </row>
    <row r="706" spans="1:3" x14ac:dyDescent="0.15">
      <c r="A706" t="s">
        <v>39</v>
      </c>
      <c r="B706" t="s">
        <v>251</v>
      </c>
      <c r="C706" t="s">
        <v>360</v>
      </c>
    </row>
    <row r="707" spans="1:3" x14ac:dyDescent="0.15">
      <c r="A707" t="s">
        <v>39</v>
      </c>
      <c r="B707" t="s">
        <v>252</v>
      </c>
      <c r="C707" t="s">
        <v>1041</v>
      </c>
    </row>
    <row r="708" spans="1:3" x14ac:dyDescent="0.15">
      <c r="A708" t="s">
        <v>39</v>
      </c>
      <c r="B708" t="s">
        <v>253</v>
      </c>
      <c r="C708" t="s">
        <v>552</v>
      </c>
    </row>
    <row r="709" spans="1:3" x14ac:dyDescent="0.15">
      <c r="A709" t="s">
        <v>39</v>
      </c>
      <c r="B709" t="s">
        <v>254</v>
      </c>
      <c r="C709" t="s">
        <v>1083</v>
      </c>
    </row>
    <row r="710" spans="1:3" x14ac:dyDescent="0.15">
      <c r="A710" t="s">
        <v>39</v>
      </c>
      <c r="B710" t="s">
        <v>255</v>
      </c>
      <c r="C710" t="s">
        <v>1118</v>
      </c>
    </row>
    <row r="711" spans="1:3" x14ac:dyDescent="0.15">
      <c r="A711" t="s">
        <v>39</v>
      </c>
      <c r="B711" t="s">
        <v>256</v>
      </c>
      <c r="C711" t="s">
        <v>1047</v>
      </c>
    </row>
    <row r="712" spans="1:3" x14ac:dyDescent="0.15">
      <c r="A712" t="s">
        <v>39</v>
      </c>
      <c r="B712" t="s">
        <v>257</v>
      </c>
      <c r="C712" t="s">
        <v>952</v>
      </c>
    </row>
    <row r="713" spans="1:3" x14ac:dyDescent="0.15">
      <c r="A713" t="s">
        <v>39</v>
      </c>
      <c r="B713" t="s">
        <v>258</v>
      </c>
      <c r="C713" t="s">
        <v>945</v>
      </c>
    </row>
    <row r="714" spans="1:3" x14ac:dyDescent="0.15">
      <c r="A714" t="s">
        <v>39</v>
      </c>
      <c r="B714" t="s">
        <v>259</v>
      </c>
      <c r="C714" t="s">
        <v>1119</v>
      </c>
    </row>
    <row r="715" spans="1:3" x14ac:dyDescent="0.15">
      <c r="A715" t="s">
        <v>39</v>
      </c>
      <c r="B715" t="s">
        <v>944</v>
      </c>
      <c r="C715" t="s">
        <v>322</v>
      </c>
    </row>
    <row r="716" spans="1:3" x14ac:dyDescent="0.15">
      <c r="A716" t="s">
        <v>39</v>
      </c>
      <c r="B716" t="s">
        <v>946</v>
      </c>
      <c r="C716" t="s">
        <v>362</v>
      </c>
    </row>
    <row r="717" spans="1:3" x14ac:dyDescent="0.15">
      <c r="A717" t="s">
        <v>39</v>
      </c>
      <c r="B717" t="s">
        <v>1055</v>
      </c>
      <c r="C717" t="s">
        <v>364</v>
      </c>
    </row>
    <row r="718" spans="1:3" x14ac:dyDescent="0.15">
      <c r="A718" t="s">
        <v>39</v>
      </c>
      <c r="B718" t="s">
        <v>1056</v>
      </c>
      <c r="C718" t="s">
        <v>322</v>
      </c>
    </row>
    <row r="719" spans="1:3" x14ac:dyDescent="0.15">
      <c r="A719" t="s">
        <v>39</v>
      </c>
      <c r="B719" t="s">
        <v>1057</v>
      </c>
      <c r="C719" t="s">
        <v>322</v>
      </c>
    </row>
    <row r="720" spans="1:3" x14ac:dyDescent="0.15">
      <c r="A720" t="s">
        <v>39</v>
      </c>
      <c r="B720" t="s">
        <v>1058</v>
      </c>
      <c r="C720" t="s">
        <v>322</v>
      </c>
    </row>
    <row r="721" spans="1:3" x14ac:dyDescent="0.15">
      <c r="A721" t="s">
        <v>39</v>
      </c>
      <c r="B721" t="s">
        <v>1059</v>
      </c>
      <c r="C721" t="s">
        <v>322</v>
      </c>
    </row>
    <row r="722" spans="1:3" x14ac:dyDescent="0.15">
      <c r="A722" t="s">
        <v>39</v>
      </c>
      <c r="B722" t="s">
        <v>1077</v>
      </c>
      <c r="C722" t="s">
        <v>322</v>
      </c>
    </row>
    <row r="723" spans="1:3" x14ac:dyDescent="0.15">
      <c r="A723" t="s">
        <v>39</v>
      </c>
      <c r="B723" t="s">
        <v>1078</v>
      </c>
      <c r="C723" t="s">
        <v>322</v>
      </c>
    </row>
    <row r="724" spans="1:3" x14ac:dyDescent="0.15">
      <c r="A724" t="s">
        <v>40</v>
      </c>
      <c r="B724" t="s">
        <v>260</v>
      </c>
      <c r="C724" t="s">
        <v>761</v>
      </c>
    </row>
    <row r="725" spans="1:3" x14ac:dyDescent="0.15">
      <c r="A725" t="s">
        <v>40</v>
      </c>
      <c r="B725" t="s">
        <v>261</v>
      </c>
      <c r="C725" t="s">
        <v>1120</v>
      </c>
    </row>
    <row r="726" spans="1:3" x14ac:dyDescent="0.15">
      <c r="A726" t="s">
        <v>40</v>
      </c>
      <c r="B726" t="s">
        <v>262</v>
      </c>
      <c r="C726" t="s">
        <v>368</v>
      </c>
    </row>
    <row r="727" spans="1:3" x14ac:dyDescent="0.15">
      <c r="A727" t="s">
        <v>40</v>
      </c>
      <c r="B727" t="s">
        <v>263</v>
      </c>
      <c r="C727" t="s">
        <v>350</v>
      </c>
    </row>
    <row r="728" spans="1:3" x14ac:dyDescent="0.15">
      <c r="A728" t="s">
        <v>40</v>
      </c>
      <c r="B728" t="s">
        <v>264</v>
      </c>
      <c r="C728" t="s">
        <v>497</v>
      </c>
    </row>
    <row r="729" spans="1:3" x14ac:dyDescent="0.15">
      <c r="A729" t="s">
        <v>40</v>
      </c>
      <c r="B729" t="s">
        <v>265</v>
      </c>
      <c r="C729" t="s">
        <v>763</v>
      </c>
    </row>
    <row r="730" spans="1:3" x14ac:dyDescent="0.15">
      <c r="A730" t="s">
        <v>40</v>
      </c>
      <c r="B730" t="s">
        <v>266</v>
      </c>
      <c r="C730" t="s">
        <v>764</v>
      </c>
    </row>
    <row r="731" spans="1:3" x14ac:dyDescent="0.15">
      <c r="A731" t="s">
        <v>40</v>
      </c>
      <c r="B731" t="s">
        <v>884</v>
      </c>
      <c r="C731" t="s">
        <v>322</v>
      </c>
    </row>
    <row r="732" spans="1:3" x14ac:dyDescent="0.15">
      <c r="A732" t="s">
        <v>40</v>
      </c>
      <c r="B732" t="s">
        <v>885</v>
      </c>
      <c r="C732" t="s">
        <v>762</v>
      </c>
    </row>
    <row r="733" spans="1:3" x14ac:dyDescent="0.15">
      <c r="A733" t="s">
        <v>40</v>
      </c>
      <c r="B733" t="s">
        <v>886</v>
      </c>
      <c r="C733" t="s">
        <v>1121</v>
      </c>
    </row>
    <row r="734" spans="1:3" x14ac:dyDescent="0.15">
      <c r="A734" t="s">
        <v>40</v>
      </c>
      <c r="B734" t="s">
        <v>887</v>
      </c>
      <c r="C734" t="s">
        <v>322</v>
      </c>
    </row>
    <row r="735" spans="1:3" x14ac:dyDescent="0.15">
      <c r="A735" t="s">
        <v>40</v>
      </c>
      <c r="B735" t="s">
        <v>888</v>
      </c>
      <c r="C735" t="s">
        <v>322</v>
      </c>
    </row>
    <row r="736" spans="1:3" x14ac:dyDescent="0.15">
      <c r="A736" t="s">
        <v>41</v>
      </c>
      <c r="B736" t="s">
        <v>267</v>
      </c>
      <c r="C736" t="s">
        <v>376</v>
      </c>
    </row>
    <row r="737" spans="1:3" x14ac:dyDescent="0.15">
      <c r="A737" t="s">
        <v>41</v>
      </c>
      <c r="B737" t="s">
        <v>268</v>
      </c>
      <c r="C737" t="s">
        <v>370</v>
      </c>
    </row>
    <row r="738" spans="1:3" x14ac:dyDescent="0.15">
      <c r="A738" t="s">
        <v>41</v>
      </c>
      <c r="B738" t="s">
        <v>269</v>
      </c>
      <c r="C738" t="s">
        <v>375</v>
      </c>
    </row>
    <row r="739" spans="1:3" x14ac:dyDescent="0.15">
      <c r="A739" t="s">
        <v>41</v>
      </c>
      <c r="B739" t="s">
        <v>270</v>
      </c>
      <c r="C739" t="s">
        <v>352</v>
      </c>
    </row>
    <row r="740" spans="1:3" x14ac:dyDescent="0.15">
      <c r="A740" t="s">
        <v>41</v>
      </c>
      <c r="B740" t="s">
        <v>271</v>
      </c>
      <c r="C740" t="s">
        <v>377</v>
      </c>
    </row>
    <row r="741" spans="1:3" x14ac:dyDescent="0.15">
      <c r="A741" t="s">
        <v>41</v>
      </c>
      <c r="B741" t="s">
        <v>272</v>
      </c>
      <c r="C741" t="s">
        <v>373</v>
      </c>
    </row>
    <row r="742" spans="1:3" x14ac:dyDescent="0.15">
      <c r="A742" t="s">
        <v>41</v>
      </c>
      <c r="B742" t="s">
        <v>273</v>
      </c>
      <c r="C742" t="s">
        <v>379</v>
      </c>
    </row>
    <row r="743" spans="1:3" x14ac:dyDescent="0.15">
      <c r="A743" t="s">
        <v>41</v>
      </c>
      <c r="B743" t="s">
        <v>274</v>
      </c>
      <c r="C743" t="s">
        <v>734</v>
      </c>
    </row>
    <row r="744" spans="1:3" x14ac:dyDescent="0.15">
      <c r="A744" t="s">
        <v>41</v>
      </c>
      <c r="B744" t="s">
        <v>275</v>
      </c>
      <c r="C744" t="s">
        <v>371</v>
      </c>
    </row>
    <row r="745" spans="1:3" x14ac:dyDescent="0.15">
      <c r="A745" t="s">
        <v>41</v>
      </c>
      <c r="B745" t="s">
        <v>276</v>
      </c>
      <c r="C745" t="s">
        <v>735</v>
      </c>
    </row>
    <row r="746" spans="1:3" x14ac:dyDescent="0.15">
      <c r="A746" t="s">
        <v>41</v>
      </c>
      <c r="B746" t="s">
        <v>277</v>
      </c>
      <c r="C746" t="s">
        <v>369</v>
      </c>
    </row>
    <row r="747" spans="1:3" x14ac:dyDescent="0.15">
      <c r="A747" t="s">
        <v>41</v>
      </c>
      <c r="B747" t="s">
        <v>278</v>
      </c>
      <c r="C747" t="s">
        <v>372</v>
      </c>
    </row>
    <row r="748" spans="1:3" x14ac:dyDescent="0.15">
      <c r="A748" t="s">
        <v>41</v>
      </c>
      <c r="B748" t="s">
        <v>279</v>
      </c>
      <c r="C748" t="s">
        <v>378</v>
      </c>
    </row>
    <row r="749" spans="1:3" x14ac:dyDescent="0.15">
      <c r="A749" t="s">
        <v>41</v>
      </c>
      <c r="B749" t="s">
        <v>280</v>
      </c>
      <c r="C749" t="s">
        <v>374</v>
      </c>
    </row>
    <row r="750" spans="1:3" x14ac:dyDescent="0.15">
      <c r="A750" t="s">
        <v>41</v>
      </c>
      <c r="B750" t="s">
        <v>1060</v>
      </c>
      <c r="C750" t="s">
        <v>322</v>
      </c>
    </row>
    <row r="751" spans="1:3" x14ac:dyDescent="0.15">
      <c r="A751" t="s">
        <v>41</v>
      </c>
      <c r="B751" t="s">
        <v>1061</v>
      </c>
      <c r="C751" t="s">
        <v>322</v>
      </c>
    </row>
    <row r="752" spans="1:3" x14ac:dyDescent="0.15">
      <c r="A752" t="s">
        <v>41</v>
      </c>
      <c r="B752" t="s">
        <v>1062</v>
      </c>
      <c r="C752" t="s">
        <v>322</v>
      </c>
    </row>
    <row r="753" spans="1:3" x14ac:dyDescent="0.15">
      <c r="A753" t="s">
        <v>41</v>
      </c>
      <c r="B753" t="s">
        <v>1063</v>
      </c>
      <c r="C753" t="s">
        <v>322</v>
      </c>
    </row>
    <row r="754" spans="1:3" x14ac:dyDescent="0.15">
      <c r="A754" t="s">
        <v>41</v>
      </c>
      <c r="B754" t="s">
        <v>1064</v>
      </c>
      <c r="C754" t="s">
        <v>322</v>
      </c>
    </row>
    <row r="755" spans="1:3" x14ac:dyDescent="0.15">
      <c r="A755" t="s">
        <v>41</v>
      </c>
      <c r="B755" t="s">
        <v>1065</v>
      </c>
      <c r="C755" t="s">
        <v>322</v>
      </c>
    </row>
    <row r="756" spans="1:3" x14ac:dyDescent="0.15">
      <c r="A756" t="s">
        <v>41</v>
      </c>
      <c r="B756" t="s">
        <v>1066</v>
      </c>
      <c r="C756" t="s">
        <v>322</v>
      </c>
    </row>
    <row r="757" spans="1:3" x14ac:dyDescent="0.15">
      <c r="A757" t="s">
        <v>41</v>
      </c>
      <c r="B757" t="s">
        <v>1067</v>
      </c>
      <c r="C757" t="s">
        <v>322</v>
      </c>
    </row>
    <row r="758" spans="1:3" x14ac:dyDescent="0.15">
      <c r="A758" t="s">
        <v>42</v>
      </c>
      <c r="B758" t="s">
        <v>281</v>
      </c>
      <c r="C758" t="s">
        <v>322</v>
      </c>
    </row>
    <row r="759" spans="1:3" x14ac:dyDescent="0.15">
      <c r="A759" t="s">
        <v>42</v>
      </c>
      <c r="B759" t="s">
        <v>282</v>
      </c>
      <c r="C759" t="s">
        <v>322</v>
      </c>
    </row>
    <row r="760" spans="1:3" x14ac:dyDescent="0.15">
      <c r="A760" t="s">
        <v>42</v>
      </c>
      <c r="B760" t="s">
        <v>283</v>
      </c>
      <c r="C760" t="s">
        <v>322</v>
      </c>
    </row>
    <row r="761" spans="1:3" x14ac:dyDescent="0.15">
      <c r="A761" t="s">
        <v>42</v>
      </c>
      <c r="B761" t="s">
        <v>284</v>
      </c>
      <c r="C761" t="s">
        <v>322</v>
      </c>
    </row>
    <row r="762" spans="1:3" x14ac:dyDescent="0.15">
      <c r="A762" t="s">
        <v>42</v>
      </c>
      <c r="B762" t="s">
        <v>285</v>
      </c>
      <c r="C762" t="s">
        <v>322</v>
      </c>
    </row>
    <row r="763" spans="1:3" x14ac:dyDescent="0.15">
      <c r="A763" t="s">
        <v>42</v>
      </c>
      <c r="B763" t="s">
        <v>286</v>
      </c>
      <c r="C763" t="s">
        <v>322</v>
      </c>
    </row>
    <row r="764" spans="1:3" x14ac:dyDescent="0.15">
      <c r="A764" t="s">
        <v>42</v>
      </c>
      <c r="B764" t="s">
        <v>287</v>
      </c>
      <c r="C764" t="s">
        <v>322</v>
      </c>
    </row>
    <row r="765" spans="1:3" x14ac:dyDescent="0.15">
      <c r="A765" t="s">
        <v>42</v>
      </c>
      <c r="B765" t="s">
        <v>288</v>
      </c>
      <c r="C765" t="s">
        <v>322</v>
      </c>
    </row>
    <row r="766" spans="1:3" x14ac:dyDescent="0.15">
      <c r="A766" t="s">
        <v>42</v>
      </c>
      <c r="B766" t="s">
        <v>289</v>
      </c>
      <c r="C766" t="s">
        <v>322</v>
      </c>
    </row>
    <row r="767" spans="1:3" x14ac:dyDescent="0.15">
      <c r="A767" t="s">
        <v>42</v>
      </c>
      <c r="B767" t="s">
        <v>290</v>
      </c>
      <c r="C767" t="s">
        <v>322</v>
      </c>
    </row>
    <row r="768" spans="1:3" x14ac:dyDescent="0.15">
      <c r="A768" t="s">
        <v>42</v>
      </c>
      <c r="B768" t="s">
        <v>291</v>
      </c>
      <c r="C768" t="s">
        <v>322</v>
      </c>
    </row>
    <row r="769" spans="1:3" x14ac:dyDescent="0.15">
      <c r="A769" t="s">
        <v>42</v>
      </c>
      <c r="B769" t="s">
        <v>292</v>
      </c>
      <c r="C769" t="s">
        <v>322</v>
      </c>
    </row>
    <row r="770" spans="1:3" x14ac:dyDescent="0.15">
      <c r="A770" t="s">
        <v>42</v>
      </c>
      <c r="B770" t="s">
        <v>889</v>
      </c>
      <c r="C770" t="s">
        <v>322</v>
      </c>
    </row>
    <row r="771" spans="1:3" x14ac:dyDescent="0.15">
      <c r="A771" t="s">
        <v>42</v>
      </c>
      <c r="B771" t="s">
        <v>890</v>
      </c>
      <c r="C771" t="s">
        <v>322</v>
      </c>
    </row>
    <row r="772" spans="1:3" x14ac:dyDescent="0.15">
      <c r="A772" t="s">
        <v>42</v>
      </c>
      <c r="B772" t="s">
        <v>891</v>
      </c>
      <c r="C772" t="s">
        <v>322</v>
      </c>
    </row>
    <row r="773" spans="1:3" x14ac:dyDescent="0.15">
      <c r="A773" t="s">
        <v>42</v>
      </c>
      <c r="B773" t="s">
        <v>892</v>
      </c>
      <c r="C773" t="s">
        <v>322</v>
      </c>
    </row>
    <row r="774" spans="1:3" x14ac:dyDescent="0.15">
      <c r="A774" t="s">
        <v>42</v>
      </c>
      <c r="B774" t="s">
        <v>893</v>
      </c>
      <c r="C774" t="s">
        <v>322</v>
      </c>
    </row>
    <row r="775" spans="1:3" x14ac:dyDescent="0.15">
      <c r="A775" t="s">
        <v>42</v>
      </c>
      <c r="B775" t="s">
        <v>894</v>
      </c>
      <c r="C775" t="s">
        <v>322</v>
      </c>
    </row>
    <row r="776" spans="1:3" x14ac:dyDescent="0.15">
      <c r="A776" t="s">
        <v>42</v>
      </c>
      <c r="B776" t="s">
        <v>895</v>
      </c>
      <c r="C776" t="s">
        <v>322</v>
      </c>
    </row>
    <row r="777" spans="1:3" x14ac:dyDescent="0.15">
      <c r="A777" t="s">
        <v>42</v>
      </c>
      <c r="B777" t="s">
        <v>896</v>
      </c>
      <c r="C777" t="s">
        <v>322</v>
      </c>
    </row>
    <row r="778" spans="1:3" x14ac:dyDescent="0.15">
      <c r="A778" t="s">
        <v>42</v>
      </c>
      <c r="B778" t="s">
        <v>897</v>
      </c>
      <c r="C778" t="s">
        <v>322</v>
      </c>
    </row>
    <row r="779" spans="1:3" x14ac:dyDescent="0.15">
      <c r="A779" t="s">
        <v>42</v>
      </c>
      <c r="B779" t="s">
        <v>898</v>
      </c>
      <c r="C779" t="s">
        <v>322</v>
      </c>
    </row>
    <row r="780" spans="1:3" x14ac:dyDescent="0.15">
      <c r="A780" t="s">
        <v>42</v>
      </c>
      <c r="B780" t="s">
        <v>899</v>
      </c>
      <c r="C780" t="s">
        <v>322</v>
      </c>
    </row>
    <row r="781" spans="1:3" x14ac:dyDescent="0.15">
      <c r="A781" t="s">
        <v>42</v>
      </c>
      <c r="B781" t="s">
        <v>900</v>
      </c>
      <c r="C781" t="s">
        <v>322</v>
      </c>
    </row>
    <row r="782" spans="1:3" x14ac:dyDescent="0.15">
      <c r="A782" t="s">
        <v>42</v>
      </c>
      <c r="B782" t="s">
        <v>901</v>
      </c>
      <c r="C782" t="s">
        <v>322</v>
      </c>
    </row>
    <row r="783" spans="1:3" x14ac:dyDescent="0.15">
      <c r="A783" t="s">
        <v>398</v>
      </c>
      <c r="B783" t="s">
        <v>553</v>
      </c>
      <c r="C783" t="s">
        <v>354</v>
      </c>
    </row>
    <row r="784" spans="1:3" x14ac:dyDescent="0.15">
      <c r="A784" t="s">
        <v>398</v>
      </c>
      <c r="B784" t="s">
        <v>554</v>
      </c>
      <c r="C784" t="s">
        <v>356</v>
      </c>
    </row>
    <row r="785" spans="1:3" x14ac:dyDescent="0.15">
      <c r="A785" t="s">
        <v>398</v>
      </c>
      <c r="B785" t="s">
        <v>555</v>
      </c>
      <c r="C785" t="s">
        <v>353</v>
      </c>
    </row>
    <row r="786" spans="1:3" x14ac:dyDescent="0.15">
      <c r="A786" t="s">
        <v>398</v>
      </c>
      <c r="B786" t="s">
        <v>556</v>
      </c>
      <c r="C786" t="s">
        <v>357</v>
      </c>
    </row>
    <row r="787" spans="1:3" x14ac:dyDescent="0.15">
      <c r="A787" t="s">
        <v>398</v>
      </c>
      <c r="B787" t="s">
        <v>557</v>
      </c>
      <c r="C787" t="s">
        <v>913</v>
      </c>
    </row>
    <row r="788" spans="1:3" x14ac:dyDescent="0.15">
      <c r="A788" t="s">
        <v>398</v>
      </c>
      <c r="B788" t="s">
        <v>558</v>
      </c>
      <c r="C788" t="s">
        <v>358</v>
      </c>
    </row>
    <row r="789" spans="1:3" x14ac:dyDescent="0.15">
      <c r="A789" t="s">
        <v>398</v>
      </c>
      <c r="B789" t="s">
        <v>559</v>
      </c>
      <c r="C789" t="s">
        <v>359</v>
      </c>
    </row>
    <row r="790" spans="1:3" x14ac:dyDescent="0.15">
      <c r="A790" t="s">
        <v>398</v>
      </c>
      <c r="B790" t="s">
        <v>560</v>
      </c>
      <c r="C790" t="s">
        <v>362</v>
      </c>
    </row>
    <row r="791" spans="1:3" x14ac:dyDescent="0.15">
      <c r="A791" t="s">
        <v>398</v>
      </c>
      <c r="B791" t="s">
        <v>561</v>
      </c>
      <c r="C791" t="s">
        <v>947</v>
      </c>
    </row>
    <row r="792" spans="1:3" x14ac:dyDescent="0.15">
      <c r="A792" t="s">
        <v>398</v>
      </c>
      <c r="B792" t="s">
        <v>562</v>
      </c>
      <c r="C792" t="s">
        <v>363</v>
      </c>
    </row>
    <row r="793" spans="1:3" x14ac:dyDescent="0.15">
      <c r="A793" t="s">
        <v>398</v>
      </c>
      <c r="B793" t="s">
        <v>563</v>
      </c>
      <c r="C793" t="s">
        <v>365</v>
      </c>
    </row>
    <row r="794" spans="1:3" x14ac:dyDescent="0.15">
      <c r="A794" t="s">
        <v>398</v>
      </c>
      <c r="B794" t="s">
        <v>564</v>
      </c>
      <c r="C794" t="s">
        <v>322</v>
      </c>
    </row>
    <row r="795" spans="1:3" x14ac:dyDescent="0.15">
      <c r="A795" t="s">
        <v>398</v>
      </c>
      <c r="B795" t="s">
        <v>565</v>
      </c>
      <c r="C795" t="s">
        <v>367</v>
      </c>
    </row>
    <row r="796" spans="1:3" x14ac:dyDescent="0.15">
      <c r="A796" t="s">
        <v>398</v>
      </c>
      <c r="B796" t="s">
        <v>566</v>
      </c>
      <c r="C796" t="s">
        <v>322</v>
      </c>
    </row>
    <row r="797" spans="1:3" x14ac:dyDescent="0.15">
      <c r="A797" t="s">
        <v>398</v>
      </c>
      <c r="B797" t="s">
        <v>939</v>
      </c>
      <c r="C797" t="s">
        <v>322</v>
      </c>
    </row>
    <row r="798" spans="1:3" x14ac:dyDescent="0.15">
      <c r="A798" t="s">
        <v>398</v>
      </c>
      <c r="B798" t="s">
        <v>1068</v>
      </c>
      <c r="C798" t="s">
        <v>1045</v>
      </c>
    </row>
    <row r="799" spans="1:3" x14ac:dyDescent="0.15">
      <c r="A799" t="s">
        <v>398</v>
      </c>
      <c r="B799" t="s">
        <v>1069</v>
      </c>
      <c r="C799" t="s">
        <v>956</v>
      </c>
    </row>
    <row r="800" spans="1:3" x14ac:dyDescent="0.15">
      <c r="A800" t="s">
        <v>398</v>
      </c>
      <c r="B800" t="s">
        <v>1070</v>
      </c>
      <c r="C800" t="s">
        <v>1046</v>
      </c>
    </row>
    <row r="801" spans="1:3" x14ac:dyDescent="0.15">
      <c r="A801" t="s">
        <v>399</v>
      </c>
      <c r="B801" t="s">
        <v>567</v>
      </c>
      <c r="C801" t="s">
        <v>368</v>
      </c>
    </row>
    <row r="802" spans="1:3" x14ac:dyDescent="0.15">
      <c r="A802" t="s">
        <v>399</v>
      </c>
      <c r="B802" t="s">
        <v>568</v>
      </c>
      <c r="C802" t="s">
        <v>497</v>
      </c>
    </row>
    <row r="803" spans="1:3" x14ac:dyDescent="0.15">
      <c r="A803" t="s">
        <v>399</v>
      </c>
      <c r="B803" t="s">
        <v>569</v>
      </c>
      <c r="C803" t="s">
        <v>761</v>
      </c>
    </row>
    <row r="804" spans="1:3" x14ac:dyDescent="0.15">
      <c r="A804" t="s">
        <v>399</v>
      </c>
      <c r="B804" t="s">
        <v>570</v>
      </c>
      <c r="C804" t="s">
        <v>1120</v>
      </c>
    </row>
    <row r="805" spans="1:3" x14ac:dyDescent="0.15">
      <c r="A805" t="s">
        <v>399</v>
      </c>
      <c r="B805" t="s">
        <v>571</v>
      </c>
      <c r="C805" t="s">
        <v>350</v>
      </c>
    </row>
    <row r="806" spans="1:3" x14ac:dyDescent="0.15">
      <c r="A806" t="s">
        <v>399</v>
      </c>
      <c r="B806" t="s">
        <v>572</v>
      </c>
      <c r="C806" t="s">
        <v>763</v>
      </c>
    </row>
    <row r="807" spans="1:3" x14ac:dyDescent="0.15">
      <c r="A807" t="s">
        <v>399</v>
      </c>
      <c r="B807" t="s">
        <v>573</v>
      </c>
      <c r="C807" t="s">
        <v>764</v>
      </c>
    </row>
    <row r="808" spans="1:3" x14ac:dyDescent="0.15">
      <c r="A808" t="s">
        <v>399</v>
      </c>
      <c r="B808" t="s">
        <v>1125</v>
      </c>
      <c r="C808" t="s">
        <v>762</v>
      </c>
    </row>
    <row r="809" spans="1:3" x14ac:dyDescent="0.15">
      <c r="A809" t="s">
        <v>596</v>
      </c>
      <c r="B809" t="s">
        <v>902</v>
      </c>
      <c r="C809" t="s">
        <v>369</v>
      </c>
    </row>
    <row r="810" spans="1:3" x14ac:dyDescent="0.15">
      <c r="A810" t="s">
        <v>596</v>
      </c>
      <c r="B810" t="s">
        <v>903</v>
      </c>
      <c r="C810" t="s">
        <v>370</v>
      </c>
    </row>
    <row r="811" spans="1:3" x14ac:dyDescent="0.15">
      <c r="A811" t="s">
        <v>596</v>
      </c>
      <c r="B811" t="s">
        <v>904</v>
      </c>
      <c r="C811" t="s">
        <v>371</v>
      </c>
    </row>
    <row r="812" spans="1:3" x14ac:dyDescent="0.15">
      <c r="A812" t="s">
        <v>596</v>
      </c>
      <c r="B812" t="s">
        <v>905</v>
      </c>
      <c r="C812" t="s">
        <v>352</v>
      </c>
    </row>
    <row r="813" spans="1:3" x14ac:dyDescent="0.15">
      <c r="A813" t="s">
        <v>596</v>
      </c>
      <c r="B813" t="s">
        <v>906</v>
      </c>
      <c r="C813" t="s">
        <v>372</v>
      </c>
    </row>
    <row r="814" spans="1:3" x14ac:dyDescent="0.15">
      <c r="A814" t="s">
        <v>596</v>
      </c>
      <c r="B814" t="s">
        <v>907</v>
      </c>
      <c r="C814" t="s">
        <v>373</v>
      </c>
    </row>
    <row r="815" spans="1:3" x14ac:dyDescent="0.15">
      <c r="A815" t="s">
        <v>596</v>
      </c>
      <c r="B815" t="s">
        <v>908</v>
      </c>
      <c r="C815" t="s">
        <v>374</v>
      </c>
    </row>
    <row r="816" spans="1:3" x14ac:dyDescent="0.15">
      <c r="A816" t="s">
        <v>596</v>
      </c>
      <c r="B816" t="s">
        <v>1071</v>
      </c>
      <c r="C816" t="s">
        <v>376</v>
      </c>
    </row>
    <row r="817" spans="1:3" x14ac:dyDescent="0.15">
      <c r="A817" t="s">
        <v>596</v>
      </c>
      <c r="B817" t="s">
        <v>1072</v>
      </c>
      <c r="C817" t="s">
        <v>375</v>
      </c>
    </row>
    <row r="818" spans="1:3" x14ac:dyDescent="0.15">
      <c r="A818" t="s">
        <v>596</v>
      </c>
      <c r="B818" t="s">
        <v>1073</v>
      </c>
      <c r="C818" t="s">
        <v>377</v>
      </c>
    </row>
    <row r="819" spans="1:3" x14ac:dyDescent="0.15">
      <c r="A819" t="s">
        <v>596</v>
      </c>
      <c r="B819" t="s">
        <v>1074</v>
      </c>
      <c r="C819" t="s">
        <v>379</v>
      </c>
    </row>
    <row r="820" spans="1:3" x14ac:dyDescent="0.15">
      <c r="A820" t="s">
        <v>43</v>
      </c>
      <c r="B820" t="s">
        <v>293</v>
      </c>
      <c r="C820" t="s">
        <v>970</v>
      </c>
    </row>
    <row r="821" spans="1:3" x14ac:dyDescent="0.15">
      <c r="A821" t="s">
        <v>44</v>
      </c>
      <c r="B821" t="s">
        <v>294</v>
      </c>
      <c r="C821" t="s">
        <v>19</v>
      </c>
    </row>
    <row r="822" spans="1:3" x14ac:dyDescent="0.15">
      <c r="A822" t="s">
        <v>303</v>
      </c>
      <c r="B822" t="s">
        <v>380</v>
      </c>
      <c r="C822" t="s">
        <v>322</v>
      </c>
    </row>
    <row r="823" spans="1:3" x14ac:dyDescent="0.15">
      <c r="A823" t="s">
        <v>304</v>
      </c>
      <c r="B823" t="s">
        <v>381</v>
      </c>
      <c r="C823" t="s">
        <v>957</v>
      </c>
    </row>
    <row r="824" spans="1:3" x14ac:dyDescent="0.15">
      <c r="A824" t="s">
        <v>45</v>
      </c>
      <c r="B824" t="s">
        <v>295</v>
      </c>
      <c r="C824" t="s">
        <v>46</v>
      </c>
    </row>
    <row r="825" spans="1:3" x14ac:dyDescent="0.15">
      <c r="A825" t="s">
        <v>45</v>
      </c>
      <c r="B825" t="s">
        <v>382</v>
      </c>
      <c r="C825" t="s">
        <v>383</v>
      </c>
    </row>
    <row r="826" spans="1:3" x14ac:dyDescent="0.15">
      <c r="A826" t="s">
        <v>45</v>
      </c>
      <c r="B826" t="s">
        <v>384</v>
      </c>
      <c r="C826" t="s">
        <v>385</v>
      </c>
    </row>
    <row r="827" spans="1:3" x14ac:dyDescent="0.15">
      <c r="A827" t="s">
        <v>47</v>
      </c>
      <c r="B827" t="s">
        <v>296</v>
      </c>
      <c r="C827" t="s">
        <v>48</v>
      </c>
    </row>
    <row r="828" spans="1:3" x14ac:dyDescent="0.15">
      <c r="A828" t="s">
        <v>47</v>
      </c>
      <c r="B828" t="s">
        <v>386</v>
      </c>
      <c r="C828" t="s">
        <v>306</v>
      </c>
    </row>
    <row r="829" spans="1:3" x14ac:dyDescent="0.15">
      <c r="A829" t="s">
        <v>49</v>
      </c>
      <c r="B829" t="s">
        <v>297</v>
      </c>
      <c r="C829" t="s">
        <v>20</v>
      </c>
    </row>
    <row r="830" spans="1:3" x14ac:dyDescent="0.15">
      <c r="A830" t="s">
        <v>51</v>
      </c>
      <c r="B830" t="s">
        <v>298</v>
      </c>
      <c r="C830" t="s">
        <v>50</v>
      </c>
    </row>
    <row r="831" spans="1:3" x14ac:dyDescent="0.15">
      <c r="A831" t="s">
        <v>52</v>
      </c>
      <c r="B831" t="s">
        <v>299</v>
      </c>
      <c r="C831" t="s">
        <v>53</v>
      </c>
    </row>
    <row r="832" spans="1:3" x14ac:dyDescent="0.15">
      <c r="A832" t="s">
        <v>54</v>
      </c>
      <c r="B832" t="s">
        <v>300</v>
      </c>
      <c r="C832" t="s">
        <v>55</v>
      </c>
    </row>
    <row r="833" spans="1:3" x14ac:dyDescent="0.15">
      <c r="A833" t="s">
        <v>387</v>
      </c>
      <c r="B833" t="s">
        <v>388</v>
      </c>
      <c r="C833" t="s">
        <v>389</v>
      </c>
    </row>
    <row r="834" spans="1:3" x14ac:dyDescent="0.15">
      <c r="A834" t="s">
        <v>598</v>
      </c>
      <c r="B834" t="s">
        <v>909</v>
      </c>
      <c r="C834" t="s">
        <v>599</v>
      </c>
    </row>
    <row r="835" spans="1:3" x14ac:dyDescent="0.15">
      <c r="A835" t="s">
        <v>598</v>
      </c>
      <c r="B835" t="s">
        <v>910</v>
      </c>
      <c r="C835" t="s">
        <v>1086</v>
      </c>
    </row>
    <row r="836" spans="1:3" x14ac:dyDescent="0.15">
      <c r="A836" t="s">
        <v>600</v>
      </c>
      <c r="B836" t="s">
        <v>911</v>
      </c>
      <c r="C836" t="s">
        <v>601</v>
      </c>
    </row>
    <row r="837" spans="1:3" x14ac:dyDescent="0.15">
      <c r="A837" t="s">
        <v>602</v>
      </c>
      <c r="B837" t="s">
        <v>912</v>
      </c>
      <c r="C837" t="s">
        <v>603</v>
      </c>
    </row>
  </sheetData>
  <phoneticPr fontId="3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C2E988-6D4C-4E4D-925D-24A4ED163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発注書</vt:lpstr>
      <vt:lpstr>取込用</vt:lpstr>
      <vt:lpstr>商品分類</vt:lpstr>
      <vt:lpstr>商品</vt:lpstr>
      <vt:lpstr>発注書!Print_Area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ジョイント関東事業部</dc:creator>
  <cp:lastModifiedBy>.</cp:lastModifiedBy>
  <cp:lastPrinted>2021-07-09T10:35:35Z</cp:lastPrinted>
  <dcterms:created xsi:type="dcterms:W3CDTF">2015-03-19T08:44:37Z</dcterms:created>
  <dcterms:modified xsi:type="dcterms:W3CDTF">2025-11-24T23:38:17Z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